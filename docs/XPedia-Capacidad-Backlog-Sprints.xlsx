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" sheetId="1" state="visible" r:id="rId1"/>
    <sheet name="Product Backlog" sheetId="2" state="visible" r:id="rId2"/>
    <sheet name="Sprint Backlog Nro1" sheetId="3" state="visible" r:id="rId3"/>
    <sheet name="Resumen por Spr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</font>
    <font>
      <b val="1"/>
      <sz val="9"/>
    </font>
    <font>
      <b val="1"/>
      <sz val="12"/>
    </font>
    <font>
      <b val="1"/>
      <color rgb="001F3864"/>
    </font>
    <font>
      <b val="1"/>
      <color rgb="00FFFFFF"/>
      <sz val="10"/>
    </font>
    <font>
      <sz val="9"/>
    </font>
    <font>
      <b val="1"/>
      <color rgb="00C00000"/>
      <sz val="9"/>
    </font>
    <font>
      <b val="1"/>
      <color rgb="00FFFFFF"/>
      <sz val="9"/>
    </font>
    <font>
      <sz val="8"/>
    </font>
    <font>
      <b val="1"/>
      <color rgb="00FFFFFF"/>
      <sz val="11"/>
    </font>
    <font>
      <i val="1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BE5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11" fillId="0" borderId="0" applyAlignment="1" pivotButton="0" quotePrefix="0" xfId="0">
      <alignment horizontal="center" vertical="center" wrapText="1"/>
    </xf>
    <xf numFmtId="166" fontId="1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12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0" fillId="2" borderId="0" pivotButton="0" quotePrefix="0" xfId="0"/>
    <xf numFmtId="0" fontId="8" fillId="0" borderId="1" pivotButton="0" quotePrefix="0" xfId="0"/>
    <xf numFmtId="0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165" fontId="0" fillId="4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165" fontId="0" fillId="7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165" fontId="0" fillId="8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6" customWidth="1" min="10" max="10"/>
    <col width="22" customWidth="1" min="11" max="11"/>
  </cols>
  <sheetData>
    <row r="1">
      <c r="A1" s="1" t="inlineStr">
        <is>
          <t>XPedia - Capacidad del equipo</t>
        </is>
      </c>
    </row>
    <row r="2">
      <c r="A2" s="2" t="inlineStr">
        <is>
          <t>7 integrantes - 14 hs semanales por persona (valor ideal declarado, se reajusta con el velocity real de cada sprint)</t>
        </is>
      </c>
    </row>
    <row r="4">
      <c r="A4" s="3" t="inlineStr">
        <is>
          <t>Integrante</t>
        </is>
      </c>
      <c r="B4" s="3" t="inlineStr">
        <is>
          <t>Rol principal</t>
        </is>
      </c>
      <c r="C4" s="3" t="inlineStr">
        <is>
          <t>Capacidad por dia (en horas)</t>
        </is>
      </c>
      <c r="J4" s="3" t="inlineStr">
        <is>
          <t>Cap. por semana</t>
        </is>
      </c>
      <c r="K4" s="3" t="inlineStr">
        <is>
          <t>Cap. por sprint (18 dias)</t>
        </is>
      </c>
    </row>
    <row r="5">
      <c r="C5" s="4" t="inlineStr">
        <is>
          <t>Lu</t>
        </is>
      </c>
      <c r="D5" s="4" t="inlineStr">
        <is>
          <t>Ma</t>
        </is>
      </c>
      <c r="E5" s="4" t="inlineStr">
        <is>
          <t>Mie</t>
        </is>
      </c>
      <c r="F5" s="4" t="inlineStr">
        <is>
          <t>Ju</t>
        </is>
      </c>
      <c r="G5" s="4" t="inlineStr">
        <is>
          <t>Vi</t>
        </is>
      </c>
      <c r="H5" s="4" t="inlineStr">
        <is>
          <t>Sa</t>
        </is>
      </c>
      <c r="I5" s="4" t="inlineStr">
        <is>
          <t>Do</t>
        </is>
      </c>
    </row>
    <row r="6">
      <c r="A6" t="inlineStr">
        <is>
          <t>Dev 1</t>
        </is>
      </c>
      <c r="B6" s="5" t="inlineStr">
        <is>
          <t>Juego / turno</t>
        </is>
      </c>
      <c r="C6" s="6" t="n">
        <v>1</v>
      </c>
      <c r="D6" s="6" t="n">
        <v>1</v>
      </c>
      <c r="E6" s="6" t="n">
        <v>1</v>
      </c>
      <c r="F6" s="6" t="n">
        <v>2</v>
      </c>
      <c r="G6" s="6" t="n">
        <v>2</v>
      </c>
      <c r="H6" s="6" t="n">
        <v>4</v>
      </c>
      <c r="I6" s="6" t="n">
        <v>3</v>
      </c>
      <c r="J6" s="6">
        <f>SUM(C6:I6)</f>
        <v/>
      </c>
      <c r="K6" s="6">
        <f>ROUND(J6*$C$21/7,1)</f>
        <v/>
      </c>
    </row>
    <row r="7">
      <c r="A7" t="inlineStr">
        <is>
          <t>Dev 2</t>
        </is>
      </c>
      <c r="B7" s="5" t="inlineStr">
        <is>
          <t>Juego / dialogo</t>
        </is>
      </c>
      <c r="C7" s="6" t="n">
        <v>1</v>
      </c>
      <c r="D7" s="6" t="n">
        <v>1</v>
      </c>
      <c r="E7" s="6" t="n">
        <v>1</v>
      </c>
      <c r="F7" s="6" t="n">
        <v>2</v>
      </c>
      <c r="G7" s="6" t="n">
        <v>2</v>
      </c>
      <c r="H7" s="6" t="n">
        <v>4</v>
      </c>
      <c r="I7" s="6" t="n">
        <v>3</v>
      </c>
      <c r="J7" s="6">
        <f>SUM(C7:I7)</f>
        <v/>
      </c>
      <c r="K7" s="6">
        <f>ROUND(J7*$C$21/7,1)</f>
        <v/>
      </c>
    </row>
    <row r="8">
      <c r="A8" t="inlineStr">
        <is>
          <t>Dev 3</t>
        </is>
      </c>
      <c r="B8" s="5" t="inlineStr">
        <is>
          <t>Juego / eventos</t>
        </is>
      </c>
      <c r="C8" s="6" t="n">
        <v>1</v>
      </c>
      <c r="D8" s="6" t="n">
        <v>1</v>
      </c>
      <c r="E8" s="6" t="n">
        <v>1</v>
      </c>
      <c r="F8" s="6" t="n">
        <v>2</v>
      </c>
      <c r="G8" s="6" t="n">
        <v>2</v>
      </c>
      <c r="H8" s="6" t="n">
        <v>4</v>
      </c>
      <c r="I8" s="6" t="n">
        <v>3</v>
      </c>
      <c r="J8" s="6">
        <f>SUM(C8:I8)</f>
        <v/>
      </c>
      <c r="K8" s="6">
        <f>ROUND(J8*$C$21/7,1)</f>
        <v/>
      </c>
    </row>
    <row r="9">
      <c r="A9" t="inlineStr">
        <is>
          <t>Dev 4</t>
        </is>
      </c>
      <c r="B9" s="5" t="inlineStr">
        <is>
          <t>UX-UI y arte</t>
        </is>
      </c>
      <c r="C9" s="6" t="n">
        <v>1</v>
      </c>
      <c r="D9" s="6" t="n">
        <v>1</v>
      </c>
      <c r="E9" s="6" t="n">
        <v>1</v>
      </c>
      <c r="F9" s="6" t="n">
        <v>2</v>
      </c>
      <c r="G9" s="6" t="n">
        <v>2</v>
      </c>
      <c r="H9" s="6" t="n">
        <v>4</v>
      </c>
      <c r="I9" s="6" t="n">
        <v>3</v>
      </c>
      <c r="J9" s="6">
        <f>SUM(C9:I9)</f>
        <v/>
      </c>
      <c r="K9" s="6">
        <f>ROUND(J9*$C$21/7,1)</f>
        <v/>
      </c>
    </row>
    <row r="10">
      <c r="A10" t="inlineStr">
        <is>
          <t>Dev 5</t>
        </is>
      </c>
      <c r="B10" s="5" t="inlineStr">
        <is>
          <t>Taller de misiones</t>
        </is>
      </c>
      <c r="C10" s="6" t="n">
        <v>1</v>
      </c>
      <c r="D10" s="6" t="n">
        <v>1</v>
      </c>
      <c r="E10" s="6" t="n">
        <v>1</v>
      </c>
      <c r="F10" s="6" t="n">
        <v>2</v>
      </c>
      <c r="G10" s="6" t="n">
        <v>2</v>
      </c>
      <c r="H10" s="6" t="n">
        <v>4</v>
      </c>
      <c r="I10" s="6" t="n">
        <v>3</v>
      </c>
      <c r="J10" s="6">
        <f>SUM(C10:I10)</f>
        <v/>
      </c>
      <c r="K10" s="6">
        <f>ROUND(J10*$C$21/7,1)</f>
        <v/>
      </c>
    </row>
    <row r="11">
      <c r="A11" t="inlineStr">
        <is>
          <t>Dev 6</t>
        </is>
      </c>
      <c r="B11" s="5" t="inlineStr">
        <is>
          <t>Admin y progresion</t>
        </is>
      </c>
      <c r="C11" s="6" t="n">
        <v>1</v>
      </c>
      <c r="D11" s="6" t="n">
        <v>1</v>
      </c>
      <c r="E11" s="6" t="n">
        <v>1</v>
      </c>
      <c r="F11" s="6" t="n">
        <v>2</v>
      </c>
      <c r="G11" s="6" t="n">
        <v>2</v>
      </c>
      <c r="H11" s="6" t="n">
        <v>4</v>
      </c>
      <c r="I11" s="6" t="n">
        <v>3</v>
      </c>
      <c r="J11" s="6">
        <f>SUM(C11:I11)</f>
        <v/>
      </c>
      <c r="K11" s="6">
        <f>ROUND(J11*$C$21/7,1)</f>
        <v/>
      </c>
    </row>
    <row r="12">
      <c r="A12" t="inlineStr">
        <is>
          <t>Dev 7</t>
        </is>
      </c>
      <c r="B12" s="5" t="inlineStr">
        <is>
          <t>Producto y datos</t>
        </is>
      </c>
      <c r="C12" s="6" t="n">
        <v>1</v>
      </c>
      <c r="D12" s="6" t="n">
        <v>1</v>
      </c>
      <c r="E12" s="6" t="n">
        <v>1</v>
      </c>
      <c r="F12" s="6" t="n">
        <v>2</v>
      </c>
      <c r="G12" s="6" t="n">
        <v>2</v>
      </c>
      <c r="H12" s="6" t="n">
        <v>4</v>
      </c>
      <c r="I12" s="6" t="n">
        <v>3</v>
      </c>
      <c r="J12" s="6">
        <f>SUM(C12:I12)</f>
        <v/>
      </c>
      <c r="K12" s="6">
        <f>ROUND(J12*$C$21/7,1)</f>
        <v/>
      </c>
    </row>
    <row r="13">
      <c r="A13" s="7" t="inlineStr">
        <is>
          <t>Capacidad de equipo (ideal)</t>
        </is>
      </c>
      <c r="B13" s="8" t="n"/>
      <c r="C13" s="9">
        <f>SUM(C6:C12)</f>
        <v/>
      </c>
      <c r="D13" s="9">
        <f>SUM(D6:D12)</f>
        <v/>
      </c>
      <c r="E13" s="9">
        <f>SUM(E6:E12)</f>
        <v/>
      </c>
      <c r="F13" s="9">
        <f>SUM(F6:F12)</f>
        <v/>
      </c>
      <c r="G13" s="9">
        <f>SUM(G6:G12)</f>
        <v/>
      </c>
      <c r="H13" s="9">
        <f>SUM(H6:H12)</f>
        <v/>
      </c>
      <c r="I13" s="9">
        <f>SUM(I6:I12)</f>
        <v/>
      </c>
      <c r="J13" s="7">
        <f>SUM(J6:J12)</f>
        <v/>
      </c>
      <c r="K13" s="7">
        <f>SUM(K6:K12)</f>
        <v/>
      </c>
    </row>
    <row r="15">
      <c r="A15" s="10" t="inlineStr">
        <is>
          <t>Capacidad NETA por sprint (descontado el factor de no planificados)</t>
        </is>
      </c>
      <c r="K15" s="11">
        <f>ROUND(K13*(1-C22),0)</f>
        <v/>
      </c>
    </row>
    <row r="16">
      <c r="A16" s="10" t="inlineStr">
        <is>
          <t>Capacidad NETA total del proyecto (4 sprints)</t>
        </is>
      </c>
      <c r="K16" s="11">
        <f>K15*C20</f>
        <v/>
      </c>
    </row>
    <row r="19">
      <c r="A19" s="12" t="inlineStr">
        <is>
          <t>Variables:</t>
        </is>
      </c>
    </row>
    <row r="20">
      <c r="A20" t="inlineStr">
        <is>
          <t>Cantidad de sprints (= 1 MVP por sprint)</t>
        </is>
      </c>
      <c r="C20" s="13" t="n">
        <v>4</v>
      </c>
    </row>
    <row r="21">
      <c r="A21" t="inlineStr">
        <is>
          <t>Dias por sprint</t>
        </is>
      </c>
      <c r="C21" s="13" t="n">
        <v>18</v>
      </c>
    </row>
    <row r="22">
      <c r="A22" t="inlineStr">
        <is>
          <t>Factor de dedicacion - No planificados</t>
        </is>
      </c>
      <c r="C22" s="13" t="n">
        <v>0.15</v>
      </c>
    </row>
    <row r="24">
      <c r="A24" s="12" t="inlineStr">
        <is>
          <t>Calendario de sprints</t>
        </is>
      </c>
    </row>
    <row r="25">
      <c r="A25" s="14" t="inlineStr">
        <is>
          <t>Sprint</t>
        </is>
      </c>
      <c r="B25" s="14" t="inlineStr">
        <is>
          <t>MVP</t>
        </is>
      </c>
      <c r="C25" s="14" t="inlineStr">
        <is>
          <t>Inicio</t>
        </is>
      </c>
      <c r="D25" s="14" t="inlineStr">
        <is>
          <t>Fin</t>
        </is>
      </c>
      <c r="E25" s="14" t="inlineStr">
        <is>
          <t>Duracion (dias)</t>
        </is>
      </c>
    </row>
    <row r="26">
      <c r="A26" s="15" t="inlineStr">
        <is>
          <t>Sprint-Nro1</t>
        </is>
      </c>
      <c r="B26" s="15" t="inlineStr">
        <is>
          <t>MVP 1</t>
        </is>
      </c>
      <c r="C26" s="16" t="n">
        <v>46289</v>
      </c>
      <c r="D26" s="16" t="n">
        <v>46306</v>
      </c>
      <c r="E26" s="17" t="n">
        <v>18</v>
      </c>
    </row>
    <row r="27">
      <c r="A27" s="15" t="inlineStr">
        <is>
          <t>Sprint-Nro2</t>
        </is>
      </c>
      <c r="B27" s="15" t="inlineStr">
        <is>
          <t>MVP 2</t>
        </is>
      </c>
      <c r="C27" s="16" t="n">
        <v>46307</v>
      </c>
      <c r="D27" s="16" t="n">
        <v>46324</v>
      </c>
      <c r="E27" s="17" t="n">
        <v>18</v>
      </c>
    </row>
    <row r="28">
      <c r="A28" s="15" t="inlineStr">
        <is>
          <t>Sprint-Nro3</t>
        </is>
      </c>
      <c r="B28" s="15" t="inlineStr">
        <is>
          <t>MVP 3</t>
        </is>
      </c>
      <c r="C28" s="16" t="n">
        <v>46325</v>
      </c>
      <c r="D28" s="16" t="n">
        <v>46342</v>
      </c>
      <c r="E28" s="17" t="n">
        <v>18</v>
      </c>
    </row>
    <row r="29">
      <c r="A29" s="15" t="inlineStr">
        <is>
          <t>Sprint-Nro4</t>
        </is>
      </c>
      <c r="B29" s="15" t="inlineStr">
        <is>
          <t>MVP 4</t>
        </is>
      </c>
      <c r="C29" s="16" t="n">
        <v>46343</v>
      </c>
      <c r="D29" s="16" t="n">
        <v>46360</v>
      </c>
      <c r="E29" s="17" t="n">
        <v>18</v>
      </c>
    </row>
    <row r="30">
      <c r="A30" s="2" t="inlineStr">
        <is>
          <t>La ultima entrega (MVP 4) cae el 04/12/2026.</t>
        </is>
      </c>
    </row>
  </sheetData>
  <mergeCells count="6">
    <mergeCell ref="A20:B20"/>
    <mergeCell ref="A21:B21"/>
    <mergeCell ref="C4:I4"/>
    <mergeCell ref="A15:J15"/>
    <mergeCell ref="A16:J16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58" customWidth="1" min="4" max="4"/>
    <col width="9" customWidth="1" min="5" max="5"/>
    <col width="11" customWidth="1" min="6" max="6"/>
    <col width="12" customWidth="1" min="7" max="7"/>
    <col width="48" customWidth="1" min="8" max="8"/>
    <col width="62" customWidth="1" min="9" max="9"/>
    <col width="13" customWidth="1" min="10" max="10"/>
  </cols>
  <sheetData>
    <row r="1">
      <c r="A1" s="1" t="inlineStr">
        <is>
          <t>XPedia - Product Backlog</t>
        </is>
      </c>
      <c r="D1" s="2" t="inlineStr">
        <is>
          <t>Prioridad: 1 = critico para la tesis  |  2 = importante  |  3 = deseable. Ordenado por lo que mas reduce incertidumbre primero.</t>
        </is>
      </c>
    </row>
    <row r="2" ht="32" customHeight="1">
      <c r="A2" s="18" t="inlineStr">
        <is>
          <t>#PBI
(Historia)</t>
        </is>
      </c>
      <c r="B2" s="18" t="inlineStr">
        <is>
          <t>Seccion / Epica
(Walking Skeleton)</t>
        </is>
      </c>
      <c r="C2" s="18" t="inlineStr">
        <is>
          <t>Nombre</t>
        </is>
      </c>
      <c r="D2" s="18" t="inlineStr">
        <is>
          <t>Descripcion</t>
        </is>
      </c>
      <c r="E2" s="18" t="inlineStr">
        <is>
          <t>Prioridad</t>
        </is>
      </c>
      <c r="F2" s="18" t="inlineStr">
        <is>
          <t>Estimacion
(Hs)</t>
        </is>
      </c>
      <c r="G2" s="18" t="inlineStr">
        <is>
          <t>Complejidad</t>
        </is>
      </c>
      <c r="H2" s="18" t="inlineStr">
        <is>
          <t>Observaciones</t>
        </is>
      </c>
      <c r="I2" s="18" t="inlineStr">
        <is>
          <t>Como probarlo?</t>
        </is>
      </c>
      <c r="J2" s="18" t="inlineStr">
        <is>
          <t>Sprint</t>
        </is>
      </c>
    </row>
    <row r="3" ht="74" customHeight="1">
      <c r="A3" s="19" t="inlineStr">
        <is>
          <t>1.0</t>
        </is>
      </c>
      <c r="B3" s="20" t="inlineStr">
        <is>
          <t>0 - Definicion de producto</t>
        </is>
      </c>
      <c r="C3" s="21" t="inlineStr">
        <is>
          <t>Idea cerrada y defensa de la tesis</t>
        </is>
      </c>
      <c r="D3" s="20" t="inlineStr">
        <is>
          <t>Como equipo queremos tener la definicion de producto cerrada por escrito para poder defender la tesis y que ninguna decision posterior la contradiga</t>
        </is>
      </c>
      <c r="E3" s="22" t="n">
        <v>1</v>
      </c>
      <c r="F3" s="19" t="n">
        <v>12</v>
      </c>
      <c r="G3" s="19" t="inlineStr">
        <is>
          <t>Media</t>
        </is>
      </c>
      <c r="H3" s="20" t="inlineStr">
        <is>
          <t>Consolida vision, no negociables y el giro 4.7 (de 4 minijuegos a un turno de trabajo). Incluye cerrar las 5 preguntas abiertas del documento.</t>
        </is>
      </c>
      <c r="I3" s="20" t="inlineStr">
        <is>
          <t>Abrir docs/producto-y-backlog.md y verificar que: (1) las 5 preguntas abiertas de la seccion 6.3 tienen decision escrita con fecha, (2) los 5 no negociables estan enunciados, (3) la bitacora de cambios de rumbo incluye el giro al turno.</t>
        </is>
      </c>
      <c r="J3" s="23" t="inlineStr">
        <is>
          <t>Sprint-Nro1</t>
        </is>
      </c>
    </row>
    <row r="4" ht="74" customHeight="1">
      <c r="A4" s="19" t="inlineStr">
        <is>
          <t>2.0</t>
        </is>
      </c>
      <c r="B4" s="20" t="inlineStr">
        <is>
          <t>0 - Definicion de producto</t>
        </is>
      </c>
      <c r="C4" s="21" t="inlineStr">
        <is>
          <t>Guion del turno de trabajo</t>
        </is>
      </c>
      <c r="D4" s="20" t="inlineStr">
        <is>
          <t>Como disenador de contenido quiero el guion del turno de la sucursal Telecom Sur para poder mockear pantallas sobre un contenido concreto y no inventado</t>
        </is>
      </c>
      <c r="E4" s="22" t="n">
        <v>1</v>
      </c>
      <c r="F4" s="19" t="n">
        <v>14</v>
      </c>
      <c r="G4" s="19" t="inlineStr">
        <is>
          <t>Alta</t>
        </is>
      </c>
      <c r="H4" s="20" t="inlineStr">
        <is>
          <t>Es el insumo de todos los mocks del juego. Define estaciones, tareas, duraciones en segundos, catalogo de eventos y la tabla atajo -&gt; consecuencia diferida.</t>
        </is>
      </c>
      <c r="I4" s="20" t="inlineStr">
        <is>
          <t>Revisar el documento de guion y confirmar que cada estacion tiene tareas con duracion en segundos, que hay al menos 8 eventos catalogados con su frecuencia, y que existen al menos 5 filas de 'atajo -&gt; costo diferido' (ej: no verificaste identidad -&gt; vuelve rebotado a los 2 min).</t>
        </is>
      </c>
      <c r="J4" s="23" t="inlineStr">
        <is>
          <t>Sprint-Nro1</t>
        </is>
      </c>
    </row>
    <row r="5" ht="74" customHeight="1">
      <c r="A5" s="19" t="inlineStr">
        <is>
          <t>3.0</t>
        </is>
      </c>
      <c r="B5" s="20" t="inlineStr">
        <is>
          <t>0 - Definicion de producto</t>
        </is>
      </c>
      <c r="C5" s="21" t="inlineStr">
        <is>
          <t>Sistema de diseno de XPedia (UI kit)</t>
        </is>
      </c>
      <c r="D5" s="20" t="inlineStr">
        <is>
          <t>Como equipo queremos un UI kit unico para que los 12 mocks se vean como un mismo producto y no como 12 prototipos sueltos</t>
        </is>
      </c>
      <c r="E5" s="22" t="n">
        <v>1</v>
      </c>
      <c r="F5" s="19" t="n">
        <v>16</v>
      </c>
      <c r="G5" s="19" t="inlineStr">
        <is>
          <t>Media</t>
        </is>
      </c>
      <c r="H5" s="20" t="inlineStr">
        <is>
          <t>Debe cumplir las decisiones de UX de la seccion 4.8: tonos claros, sin mayusculas persistentes, texto a izquierda, pastillas de stats sin etiquetas, poco texto.</t>
        </is>
      </c>
      <c r="I5" s="20" t="inlineStr">
        <is>
          <t>Abrir el archivo del UI kit y verificar que define paleta en tonos claros (sin modo oscuro), tipografia, y los componentes pastilla de stat, boton, panel de ayuda y modal. Tomar dos mocks cualquiera y confirmar que usan los mismos tokens.</t>
        </is>
      </c>
      <c r="J5" s="23" t="inlineStr">
        <is>
          <t>Sprint-Nro1</t>
        </is>
      </c>
    </row>
    <row r="6" ht="74" customHeight="1">
      <c r="A6" s="19" t="inlineStr">
        <is>
          <t>4.0</t>
        </is>
      </c>
      <c r="B6" s="20" t="inlineStr">
        <is>
          <t>1 - Turno de trabajo</t>
        </is>
      </c>
      <c r="C6" s="21" t="inlineStr">
        <is>
          <t>Mock del HUD del turno</t>
        </is>
      </c>
      <c r="D6" s="20" t="inlineStr">
        <is>
          <t>Como empleado quiero ver el estado completo de mi turno de un vistazo para poder decidir que atiendo primero</t>
        </is>
      </c>
      <c r="E6" s="22" t="n">
        <v>1</v>
      </c>
      <c r="F6" s="19" t="n">
        <v>20</v>
      </c>
      <c r="G6" s="19" t="inlineStr">
        <is>
          <t>Alta</t>
        </is>
      </c>
      <c r="H6" s="20" t="inlineStr">
        <is>
          <t>Pantalla madre del MVP: mapa de la sucursal con estaciones, cola de clientes, reloj del turno, medidores de paciencia y estres, pastillas de stats. Todo hardcodeado.</t>
        </is>
      </c>
      <c r="I6" s="20" t="inlineStr">
        <is>
          <t>Abrir el mock del HUD y verificar: mapa con al menos 4 estaciones senalizadas, cola con al menos 3 clientes esperando, reloj del turno visible, medidores de paciencia por cliente y estres propio, y la fila de pastillas (Lvl, XP %, casos resueltos, habilidad) sin etiquetas de texto.</t>
        </is>
      </c>
      <c r="J6" s="23" t="inlineStr">
        <is>
          <t>Sprint-Nro1</t>
        </is>
      </c>
    </row>
    <row r="7" ht="74" customHeight="1">
      <c r="A7" s="19" t="inlineStr">
        <is>
          <t>5.0</t>
        </is>
      </c>
      <c r="B7" s="20" t="inlineStr">
        <is>
          <t>1 - Turno de trabajo</t>
        </is>
      </c>
      <c r="C7" s="21" t="inlineStr">
        <is>
          <t>Mock del evento 'Dialogo con consecuencias'</t>
        </is>
      </c>
      <c r="D7" s="20" t="inlineStr">
        <is>
          <t>Como empleado quiero atender a un cliente difícil viendo que los demas siguen esperando para sentir el costo real de la conversacion</t>
        </is>
      </c>
      <c r="E7" s="22" t="n">
        <v>1</v>
      </c>
      <c r="F7" s="19" t="n">
        <v>18</v>
      </c>
      <c r="G7" s="19" t="inlineStr">
        <is>
          <t>Alta</t>
        </is>
      </c>
      <c r="H7" s="20" t="inlineStr">
        <is>
          <t>La diferencia con el prototipo actual es que la cola queda visible detras del panel de dialogo y sigue avanzando. Cada respuesta tiene reaccion visible en el momento (no negociable 1).</t>
        </is>
      </c>
      <c r="I7" s="20" t="inlineStr">
        <is>
          <t>Abrir el mock, iniciar el dialogo y verificar: (1) la cola y el reloj siguen visibles y en movimiento detras del panel, (2) cada opcion elegida produce un cambio visible inmediato en el gesto o el medidor de paciencia del cliente, (3) al cerrar el evento aparece el feedback por rubrica y no un 'correcto/incorrecto'.</t>
        </is>
      </c>
      <c r="J7" s="23" t="inlineStr">
        <is>
          <t>Sprint-Nro1</t>
        </is>
      </c>
    </row>
    <row r="8" ht="74" customHeight="1">
      <c r="A8" s="19" t="inlineStr">
        <is>
          <t>6.0</t>
        </is>
      </c>
      <c r="B8" s="20" t="inlineStr">
        <is>
          <t>1 - Turno de trabajo</t>
        </is>
      </c>
      <c r="C8" s="21" t="inlineStr">
        <is>
          <t>Mock del evento 'Auditoria'</t>
        </is>
      </c>
      <c r="D8" s="20" t="inlineStr">
        <is>
          <t>Como empleado quiero detectar algo fuera de norma mientras camino y decidir si paro o sigo para que la auditoria sea una decision de costo y no un buscar diferencias</t>
        </is>
      </c>
      <c r="E8" s="22" t="n">
        <v>1</v>
      </c>
      <c r="F8" s="19" t="n">
        <v>14</v>
      </c>
      <c r="G8" s="19" t="inlineStr">
        <is>
          <t>Media</t>
        </is>
      </c>
      <c r="H8" s="20" t="inlineStr">
        <is>
          <t>El verbo del jugador no es 'elegir de una lista' sino 'parar el turno para arreglar algo'. El costo de parar debe verse en la cola.</t>
        </is>
      </c>
      <c r="I8" s="20" t="inlineStr">
        <is>
          <t>Abrir el mock, pasar por la estacion con el hallazgo y verificar que aparece la opcion de parar; al elegir parar, confirmar que el reloj corre y la cola crece; al elegir seguir, confirmar que queda registrado como atajo en el panel de cierre.</t>
        </is>
      </c>
      <c r="J8" s="23" t="inlineStr">
        <is>
          <t>Sprint-Nro1</t>
        </is>
      </c>
    </row>
    <row r="9" ht="74" customHeight="1">
      <c r="A9" s="19" t="inlineStr">
        <is>
          <t>7.0</t>
        </is>
      </c>
      <c r="B9" s="20" t="inlineStr">
        <is>
          <t>1 - Turno de trabajo</t>
        </is>
      </c>
      <c r="C9" s="21" t="inlineStr">
        <is>
          <t>Mock del evento 'Ronda / procedimiento'</t>
        </is>
      </c>
      <c r="D9" s="20" t="inlineStr">
        <is>
          <t>Como empleado quiero ejecutar un procedimiento paso por paso ocupando tiempo real para que saber el protocolo me haga eficiente y no me de puntos</t>
        </is>
      </c>
      <c r="E9" s="22" t="n">
        <v>1</v>
      </c>
      <c r="F9" s="19" t="n">
        <v>14</v>
      </c>
      <c r="G9" s="19" t="inlineStr">
        <is>
          <t>Media</t>
        </is>
      </c>
      <c r="H9" s="20" t="inlineStr">
        <is>
          <t>Cada paso ocupa segundos reales. Saltear un paso no da error inmediato: dispara una consecuencia diferida.</t>
        </is>
      </c>
      <c r="I9" s="20" t="inlineStr">
        <is>
          <t>Abrir el mock, ejecutar la ronda completa y anotar el tiempo total; repetir salteando un paso y verificar que (1) el turno termina antes, (2) mas tarde aparece la consecuencia diferida asociada a ese paso salteado.</t>
        </is>
      </c>
      <c r="J9" s="23" t="inlineStr">
        <is>
          <t>Sprint-Nro1</t>
        </is>
      </c>
    </row>
    <row r="10" ht="74" customHeight="1">
      <c r="A10" s="19" t="inlineStr">
        <is>
          <t>8.0</t>
        </is>
      </c>
      <c r="B10" s="20" t="inlineStr">
        <is>
          <t>1 - Turno de trabajo</t>
        </is>
      </c>
      <c r="C10" s="21" t="inlineStr">
        <is>
          <t>Mock del evento 'Crisis'</t>
        </is>
      </c>
      <c r="D10" s="20" t="inlineStr">
        <is>
          <t>Como empleado quiero enfrentar una caida de sistema con la cola llena para poder practicar la coordinacion bajo presion</t>
        </is>
      </c>
      <c r="E10" s="19" t="n">
        <v>2</v>
      </c>
      <c r="F10" s="19" t="n">
        <v>12</v>
      </c>
      <c r="G10" s="19" t="inlineStr">
        <is>
          <t>Media</t>
        </is>
      </c>
      <c r="H10" s="20" t="inlineStr">
        <is>
          <t>Presion por acumulacion, no por reflejos (decision de la pregunta abierta #1). Sin mecanicas de precision ni de apuntar.</t>
        </is>
      </c>
      <c r="I10" s="20" t="inlineStr">
        <is>
          <t>Abrir el mock, disparar la crisis y verificar que hay un timer visible, que la cola sigue creciendo durante la crisis, y que las decisiones de coordinacion disponibles son al menos 3 y cambian el estado de la sucursal de forma visible.</t>
        </is>
      </c>
      <c r="J10" s="23" t="inlineStr">
        <is>
          <t>Sprint-Nro1</t>
        </is>
      </c>
    </row>
    <row r="11" ht="74" customHeight="1">
      <c r="A11" s="19" t="inlineStr">
        <is>
          <t>9.0</t>
        </is>
      </c>
      <c r="B11" s="20" t="inlineStr">
        <is>
          <t>1 - Turno de trabajo</t>
        </is>
      </c>
      <c r="C11" s="21" t="inlineStr">
        <is>
          <t>Mock del cierre de turno: score, record y atajos cobrados</t>
        </is>
      </c>
      <c r="D11" s="20" t="inlineStr">
        <is>
          <t>Como empleado quiero ver como me fue al terminar el turno y cuanto me costaron mis atajos para poder querer superar mi propio record</t>
        </is>
      </c>
      <c r="E11" s="22" t="n">
        <v>1</v>
      </c>
      <c r="F11" s="19" t="n">
        <v>14</v>
      </c>
      <c r="G11" s="19" t="inlineStr">
        <is>
          <t>Media</t>
        </is>
      </c>
      <c r="H11" s="20" t="inlineStr">
        <is>
          <t>Es el motor de rejugabilidad. Debe mostrar el score, el record personal anterior y el detalle de que atajos tome y cuanto tiempo me costaron.</t>
        </is>
      </c>
      <c r="I11" s="20" t="inlineStr">
        <is>
          <t>Terminar un turno en el mock y verificar que la pantalla de cierre muestra: score del turno, record personal anterior, cantidad de casos resueltos, y una lista de atajos tomados con el costo en segundos de cada uno.</t>
        </is>
      </c>
      <c r="J11" s="23" t="inlineStr">
        <is>
          <t>Sprint-Nro1</t>
        </is>
      </c>
    </row>
    <row r="12" ht="74" customHeight="1">
      <c r="A12" s="19" t="inlineStr">
        <is>
          <t>10.0</t>
        </is>
      </c>
      <c r="B12" s="20" t="inlineStr">
        <is>
          <t>2 - Taller de misiones</t>
        </is>
      </c>
      <c r="C12" s="21" t="inlineStr">
        <is>
          <t>Mock del Taller: carga de documentos, clasificacion y brief</t>
        </is>
      </c>
      <c r="D12" s="20" t="inlineStr">
        <is>
          <t>Como equipo de contenidos quiero subir la documentacion de la empresa y obtener un brief del caso para poder arrancar la creacion de la mision</t>
        </is>
      </c>
      <c r="E12" s="22" t="n">
        <v>1</v>
      </c>
      <c r="F12" s="19" t="n">
        <v>16</v>
      </c>
      <c r="G12" s="19" t="inlineStr">
        <is>
          <t>Media</t>
        </is>
      </c>
      <c r="H12" s="20" t="inlineStr">
        <is>
          <t>Carga simulada. Debe incluir la clasificacion doble de la decision 4.3: tipo de contenido (sugerido por IA) y sensibilidad (siempre marcada a mano por el funcional).</t>
        </is>
      </c>
      <c r="I12" s="20" t="inlineStr">
        <is>
          <t>Abrir el mock del Taller, simular la carga de un documento y verificar: (1) el sistema sugiere un tipo de contenido, (2) la sensibilidad aparece como alerta sugerida pero requiere marcado manual explicito, (3) se genera un brief con rol, habilidad y situacion.</t>
        </is>
      </c>
      <c r="J12" s="23" t="inlineStr">
        <is>
          <t>Sprint-Nro1</t>
        </is>
      </c>
    </row>
    <row r="13" ht="74" customHeight="1">
      <c r="A13" s="19" t="inlineStr">
        <is>
          <t>11.0</t>
        </is>
      </c>
      <c r="B13" s="20" t="inlineStr">
        <is>
          <t>2 - Taller de misiones</t>
        </is>
      </c>
      <c r="C13" s="21" t="inlineStr">
        <is>
          <t>Mock del editor de mision de turno + estados de publicacion</t>
        </is>
      </c>
      <c r="D13" s="20" t="inlineStr">
        <is>
          <t>Como revisor de contenidos quiero editar la mision generada y publicarla para que nada llegue a un empleado real sin revision humana</t>
        </is>
      </c>
      <c r="E13" s="22" t="n">
        <v>1</v>
      </c>
      <c r="F13" s="19" t="n">
        <v>14</v>
      </c>
      <c r="G13" s="19" t="inlineStr">
        <is>
          <t>Media</t>
        </is>
      </c>
      <c r="H13" s="20" t="inlineStr">
        <is>
          <t>Cambio respecto del Taller actual: ya no se edita un arbol de dialogo sino el contenido de un turno (estaciones, tareas, duraciones, eventos). Estados: Borrador -&gt; Generado por IA (sin revisar) -&gt; Editado -&gt; Publicado.</t>
        </is>
      </c>
      <c r="I13" s="20" t="inlineStr">
        <is>
          <t>Abrir el editor, modificar la duracion de una tarea y el texto de un evento, y verificar que el estado de la mision pasa de 'Generado por IA (sin revisar)' a 'Editado'. Intentar publicar sin revisar y confirmar que el sistema lo bloquea.</t>
        </is>
      </c>
      <c r="J13" s="23" t="inlineStr">
        <is>
          <t>Sprint-Nro1</t>
        </is>
      </c>
    </row>
    <row r="14" ht="74" customHeight="1">
      <c r="A14" s="19" t="inlineStr">
        <is>
          <t>12.0</t>
        </is>
      </c>
      <c r="B14" s="20" t="inlineStr">
        <is>
          <t>3 - Vista de admin</t>
        </is>
      </c>
      <c r="C14" s="21" t="inlineStr">
        <is>
          <t>Mock de la vista de admin priorizada por 'necesita atencion'</t>
        </is>
      </c>
      <c r="D14" s="20" t="inlineStr">
        <is>
          <t>Como lider de L&amp;D quiero ver a quien tengo que ayudar y en que para poder actuar sin micro-gestionar</t>
        </is>
      </c>
      <c r="E14" s="19" t="n">
        <v>2</v>
      </c>
      <c r="F14" s="19" t="n">
        <v>14</v>
      </c>
      <c r="G14" s="19" t="inlineStr">
        <is>
          <t>Media</t>
        </is>
      </c>
      <c r="H14" s="20" t="inlineStr">
        <is>
          <t>Resuelve la pregunta abierta #3 (agregados vs. individual). No es una tabla plana: la vista se ordena por urgencia de intervencion.</t>
        </is>
      </c>
      <c r="I14" s="20" t="inlineStr">
        <is>
          <t>Abrir el mock y verificar que (1) lo primero que se ve es un bloque de 'necesita atencion' con personas o temas concretos y una accion sugerida, (2) no se expone el detalle conversacion por conversacion de cada simulacion, (3) el dato mostrado permite actuar y no es un 'completo / no completo'.</t>
        </is>
      </c>
      <c r="J14" s="23" t="inlineStr">
        <is>
          <t>Sprint-Nro1</t>
        </is>
      </c>
    </row>
    <row r="15" ht="74" customHeight="1">
      <c r="A15" s="19" t="inlineStr">
        <is>
          <t>13.0</t>
        </is>
      </c>
      <c r="B15" s="20" t="inlineStr">
        <is>
          <t>4 - Progresion y mundo</t>
        </is>
      </c>
      <c r="C15" s="21" t="inlineStr">
        <is>
          <t>Mock del arbol de habilidades</t>
        </is>
      </c>
      <c r="D15" s="20" t="inlineStr">
        <is>
          <t>Como empleado quiero ver como crece mi perfil de habilidades para poder elegir en que quiero mejorar</t>
        </is>
      </c>
      <c r="E15" s="19" t="n">
        <v>2</v>
      </c>
      <c r="F15" s="19" t="n">
        <v>12</v>
      </c>
      <c r="G15" s="19" t="inlineStr">
        <is>
          <t>Baja</t>
        </is>
      </c>
      <c r="H15" s="20" t="inlineStr">
        <is>
          <t>Resuelve la pregunta abierta #2 (cosmetico vs. desbloquea contenido). Se alimenta de los puntos de rubrica que ya calculamos.</t>
        </is>
      </c>
      <c r="I15" s="20" t="inlineStr">
        <is>
          <t>Abrir el mock y verificar que el arbol muestra al menos 3 ramas de habilidad, con nodos desbloqueados y bloqueados diferenciados, y que cada nodo indica de que puntos de rubrica se alimenta.</t>
        </is>
      </c>
      <c r="J15" s="23" t="inlineStr">
        <is>
          <t>Sprint-Nro1</t>
        </is>
      </c>
    </row>
    <row r="16" ht="74" customHeight="1">
      <c r="A16" s="19" t="inlineStr">
        <is>
          <t>14.0</t>
        </is>
      </c>
      <c r="B16" s="20" t="inlineStr">
        <is>
          <t>5 - Modo sensible</t>
        </is>
      </c>
      <c r="C16" s="21" t="inlineStr">
        <is>
          <t>Mock del modo sensible aplicado a un evento</t>
        </is>
      </c>
      <c r="D16" s="20" t="inlineStr">
        <is>
          <t>Como empleado quiero atravesar un contenido sensible sin competencia ni puntaje para que la capacitacion no banalice el tema</t>
        </is>
      </c>
      <c r="E16" s="22" t="n">
        <v>1</v>
      </c>
      <c r="F16" s="19" t="n">
        <v>12</v>
      </c>
      <c r="G16" s="19" t="inlineStr">
        <is>
          <t>Media</t>
        </is>
      </c>
      <c r="H16" s="20" t="inlineStr">
        <is>
          <t>No es un juego aparte, es un interruptor sobre una mecanica existente (decision 4.4). El jugador siempre es quien responde, nunca se simula a la victima.</t>
        </is>
      </c>
      <c r="I16" s="20" t="inlineStr">
        <is>
          <t>Tomar el mock de dialogo, activar el interruptor de modo sensible y verificar que: desaparecen el timer, el puntaje y la competencia; el feedback es de acompanamiento y no correcto/incorrecto; aparecen los canales reales de ayuda; y existe un boton de saltear que no deja registro de 'no completado'.</t>
        </is>
      </c>
      <c r="J16" s="23" t="inlineStr">
        <is>
          <t>Sprint-Nro1</t>
        </is>
      </c>
    </row>
    <row r="17" ht="74" customHeight="1">
      <c r="A17" s="19" t="inlineStr">
        <is>
          <t>15.0</t>
        </is>
      </c>
      <c r="B17" s="20" t="inlineStr">
        <is>
          <t>0 - Definicion de producto</t>
        </is>
      </c>
      <c r="C17" s="21" t="inlineStr">
        <is>
          <t>Presentacion del MVP 1</t>
        </is>
      </c>
      <c r="D17" s="20" t="inlineStr">
        <is>
          <t>Como equipo queremos una demo guiada de punta a punta para poder presentar la idea y los mocks en la entrega del MVP 1</t>
        </is>
      </c>
      <c r="E17" s="22" t="n">
        <v>1</v>
      </c>
      <c r="F17" s="19" t="n">
        <v>12</v>
      </c>
      <c r="G17" s="19" t="inlineStr">
        <is>
          <t>Baja</t>
        </is>
      </c>
      <c r="H17" s="20" t="inlineStr">
        <is>
          <t>Los mocks se encadenan en un recorrido unico: Taller crea la mision -&gt; el empleado juega el turno -&gt; el admin ve el resultado. Es el walking skeleton visual.</t>
        </is>
      </c>
      <c r="I17" s="20" t="inlineStr">
        <is>
          <t>Ejecutar el recorrido completo de la demo de principio a fin sin salir de los mocks y cronometrarlo: debe durar menos de 12 minutos y no debe requerir explicar nada que no este en pantalla.</t>
        </is>
      </c>
      <c r="J17" s="23" t="inlineStr">
        <is>
          <t>Sprint-Nro1</t>
        </is>
      </c>
    </row>
    <row r="18" ht="74" customHeight="1">
      <c r="A18" s="19" t="inlineStr">
        <is>
          <t>16.0</t>
        </is>
      </c>
      <c r="B18" s="20" t="inlineStr">
        <is>
          <t>6 - Plataforma</t>
        </is>
      </c>
      <c r="C18" s="21" t="inlineStr">
        <is>
          <t>Esqueleto de repo + docker-compose funcional</t>
        </is>
      </c>
      <c r="D18" s="20" t="inlineStr">
        <is>
          <t>Como desarrollador quiero levantar todo el stack con un comando para poder trabajar sin pelearme con el entorno</t>
        </is>
      </c>
      <c r="E18" s="22" t="n">
        <v>1</v>
      </c>
      <c r="F18" s="19" t="n">
        <v>20</v>
      </c>
      <c r="G18" s="19" t="inlineStr">
        <is>
          <t>Media</t>
        </is>
      </c>
      <c r="H18" s="20" t="inlineStr">
        <is>
          <t>Cierra el bache T7. React + Phaser, Java/Spring core, Python/FastAPI para IA, PostgreSQL + pgvector.</t>
        </is>
      </c>
      <c r="I18" s="20" t="inlineStr">
        <is>
          <t>Clonar el repo en una maquina limpia, correr 'docker compose up' y verificar que los 4 servicios responden a su healthcheck y que el front carga en el navegador.</t>
        </is>
      </c>
      <c r="J18" s="24" t="inlineStr">
        <is>
          <t>Sprint-Nro2</t>
        </is>
      </c>
    </row>
    <row r="19" ht="74" customHeight="1">
      <c r="A19" s="19" t="inlineStr">
        <is>
          <t>17.0</t>
        </is>
      </c>
      <c r="B19" s="20" t="inlineStr">
        <is>
          <t>6 - Plataforma</t>
        </is>
      </c>
      <c r="C19" s="21" t="inlineStr">
        <is>
          <t>Modelo de datos SQL detallado</t>
        </is>
      </c>
      <c r="D19" s="20" t="inlineStr">
        <is>
          <t>Como desarrollador quiero el esquema de base definido con tipos, FKs e indices para poder persistir progreso y contenido sin rehacerlo despues</t>
        </is>
      </c>
      <c r="E19" s="22" t="n">
        <v>1</v>
      </c>
      <c r="F19" s="19" t="n">
        <v>16</v>
      </c>
      <c r="G19" s="19" t="inlineStr">
        <is>
          <t>Alta</t>
        </is>
      </c>
      <c r="H19" s="20" t="inlineStr">
        <is>
          <t>Cierra el bache T5. Debe contemplar multi-tenant desde el modelo aunque la autenticacion llegue en el Sprint 3.</t>
        </is>
      </c>
      <c r="I19" s="20" t="inlineStr">
        <is>
          <t>Correr las migraciones sobre una base vacia y verificar que se crean todas las tablas con sus FKs. Intentar insertar una fila huerfana y confirmar que la FK la rechaza.</t>
        </is>
      </c>
      <c r="J19" s="24" t="inlineStr">
        <is>
          <t>Sprint-Nro2</t>
        </is>
      </c>
    </row>
    <row r="20" ht="74" customHeight="1">
      <c r="A20" s="19" t="inlineStr">
        <is>
          <t>18.0</t>
        </is>
      </c>
      <c r="B20" s="20" t="inlineStr">
        <is>
          <t>6 - Plataforma</t>
        </is>
      </c>
      <c r="C20" s="21" t="inlineStr">
        <is>
          <t>Contrato de API entre core (Java) y servicio IA (Python)</t>
        </is>
      </c>
      <c r="D20" s="20" t="inlineStr">
        <is>
          <t>Como desarrollador quiero un contrato de API explicito para que los dos servicios se puedan desarrollar en paralelo</t>
        </is>
      </c>
      <c r="E20" s="22" t="n">
        <v>1</v>
      </c>
      <c r="F20" s="19" t="n">
        <v>14</v>
      </c>
      <c r="G20" s="19" t="inlineStr">
        <is>
          <t>Media</t>
        </is>
      </c>
      <c r="H20" s="20" t="inlineStr">
        <is>
          <t>Cierra el bache T6. Contrato versionado (OpenAPI) con los endpoints de ingesta, generacion de mision y clasificacion.</t>
        </is>
      </c>
      <c r="I20" s="20" t="inlineStr">
        <is>
          <t>Abrir la especificacion OpenAPI publicada y verificar que valida sin errores. Levantar el mock server desde la spec y confirmar que el core puede consumirlo sin cambios de codigo.</t>
        </is>
      </c>
      <c r="J20" s="24" t="inlineStr">
        <is>
          <t>Sprint-Nro2</t>
        </is>
      </c>
    </row>
    <row r="21" ht="74" customHeight="1">
      <c r="A21" s="19" t="inlineStr">
        <is>
          <t>19.0</t>
        </is>
      </c>
      <c r="B21" s="20" t="inlineStr">
        <is>
          <t>1 - Turno de trabajo</t>
        </is>
      </c>
      <c r="C21" s="21" t="inlineStr">
        <is>
          <t>Prototipo del turno en tiempo real</t>
        </is>
      </c>
      <c r="D21" s="20" t="inlineStr">
        <is>
          <t>Como empleado quiero jugar un turno de trabajo completo en tiempo real para que la simulacion se parezca al laburo y no a un cuestionario</t>
        </is>
      </c>
      <c r="E21" s="22" t="n">
        <v>1</v>
      </c>
      <c r="F21" s="19" t="n">
        <v>30</v>
      </c>
      <c r="G21" s="19" t="inlineStr">
        <is>
          <t>Alta</t>
        </is>
      </c>
      <c r="H21" s="20" t="inlineStr">
        <is>
          <t>Item A1 del backlog original y corazon de la tesis (bache B1). Reusa mapa, movimiento y NPCs ya construidos en el prototipo de la sucursal.</t>
        </is>
      </c>
      <c r="I21" s="20" t="inlineStr">
        <is>
          <t>Iniciar un turno y jugarlo de punta a punta sin que el juego espere al jugador en ningun momento: el reloj corre siempre, el turno dura entre 2 y 3 minutos y termina solo.</t>
        </is>
      </c>
      <c r="J21" s="24" t="inlineStr">
        <is>
          <t>Sprint-Nro2</t>
        </is>
      </c>
    </row>
    <row r="22" ht="74" customHeight="1">
      <c r="A22" s="19" t="inlineStr">
        <is>
          <t>20.0</t>
        </is>
      </c>
      <c r="B22" s="20" t="inlineStr">
        <is>
          <t>1 - Turno de trabajo</t>
        </is>
      </c>
      <c r="C22" s="21" t="inlineStr">
        <is>
          <t>Sistema de eventos que llegan solos</t>
        </is>
      </c>
      <c r="D22" s="20" t="inlineStr">
        <is>
          <t>Como empleado quiero que los eventos aparezcan sin que yo los pida para que cada partida del mismo contenido se sienta distinta</t>
        </is>
      </c>
      <c r="E22" s="22" t="n">
        <v>1</v>
      </c>
      <c r="F22" s="19" t="n">
        <v>20</v>
      </c>
      <c r="G22" s="19" t="inlineStr">
        <is>
          <t>Alta</t>
        </is>
      </c>
      <c r="H22" s="20" t="inlineStr">
        <is>
          <t>Item A2. Frecuencia configurable por mision. El orden aleatorio del mismo contenido es lo que da rejugabilidad.</t>
        </is>
      </c>
      <c r="I22" s="20" t="inlineStr">
        <is>
          <t>Jugar 3 turnos de la misma mision y verificar que el orden y el momento de los eventos cambia en cada partida. Subir la frecuencia en la configuracion y confirmar que llegan mas eventos en el mismo tiempo.</t>
        </is>
      </c>
      <c r="J22" s="24" t="inlineStr">
        <is>
          <t>Sprint-Nro2</t>
        </is>
      </c>
    </row>
    <row r="23" ht="74" customHeight="1">
      <c r="A23" s="19" t="inlineStr">
        <is>
          <t>21.0</t>
        </is>
      </c>
      <c r="B23" s="20" t="inlineStr">
        <is>
          <t>1 - Turno de trabajo</t>
        </is>
      </c>
      <c r="C23" s="21" t="inlineStr">
        <is>
          <t>Acciones con duracion real</t>
        </is>
      </c>
      <c r="D23" s="20" t="inlineStr">
        <is>
          <t>Como empleado quiero que caminar y ejecutar procedimientos me ocupen segundos reales para que el tiempo sea un recurso escaso</t>
        </is>
      </c>
      <c r="E23" s="22" t="n">
        <v>1</v>
      </c>
      <c r="F23" s="19" t="n">
        <v>20</v>
      </c>
      <c r="G23" s="19" t="inlineStr">
        <is>
          <t>Alta</t>
        </is>
      </c>
      <c r="H23" s="20" t="inlineStr">
        <is>
          <t>Item A3, 'el corazon de la escasez'. Cada tarea consume el tiempo que declara el guion de la mision.</t>
        </is>
      </c>
      <c r="I23" s="20" t="inlineStr">
        <is>
          <t>Cronometrar con reloj externo una tarea que el guion declara de 8 segundos y verificar que efectivamente ocupa ~8 segundos de turno. Verificar que durante ese tiempo el jugador no puede atender otra cosa.</t>
        </is>
      </c>
      <c r="J23" s="24" t="inlineStr">
        <is>
          <t>Sprint-Nro2</t>
        </is>
      </c>
    </row>
    <row r="24" ht="74" customHeight="1">
      <c r="A24" s="19" t="inlineStr">
        <is>
          <t>22.0</t>
        </is>
      </c>
      <c r="B24" s="20" t="inlineStr">
        <is>
          <t>1 - Turno de trabajo</t>
        </is>
      </c>
      <c r="C24" s="21" t="inlineStr">
        <is>
          <t>Medidores que decaen</t>
        </is>
      </c>
      <c r="D24" s="20" t="inlineStr">
        <is>
          <t>Como empleado quiero que la paciencia de los clientes y mi estres bajen solos para sentir la presion por acumulacion</t>
        </is>
      </c>
      <c r="E24" s="22" t="n">
        <v>1</v>
      </c>
      <c r="F24" s="19" t="n">
        <v>16</v>
      </c>
      <c r="G24" s="19" t="inlineStr">
        <is>
          <t>Media</t>
        </is>
      </c>
      <c r="H24" s="20" t="inlineStr">
        <is>
          <t>Item A4. Presion por acumulacion, no por reflejos (decision de la pregunta abierta #1).</t>
        </is>
      </c>
      <c r="I24" s="20" t="inlineStr">
        <is>
          <t>Dejar un cliente sin atender durante 30 segundos y verificar que su medidor de paciencia baja de forma visible y que al llegar a cero el cliente se va y queda registrado. Verificar que el estres propio sube con la cantidad de tareas simultaneas.</t>
        </is>
      </c>
      <c r="J24" s="24" t="inlineStr">
        <is>
          <t>Sprint-Nro2</t>
        </is>
      </c>
    </row>
    <row r="25" ht="74" customHeight="1">
      <c r="A25" s="19" t="inlineStr">
        <is>
          <t>23.0</t>
        </is>
      </c>
      <c r="B25" s="20" t="inlineStr">
        <is>
          <t>1 - Turno de trabajo</t>
        </is>
      </c>
      <c r="C25" s="21" t="inlineStr">
        <is>
          <t>Consecuencias sistemicas diferidas</t>
        </is>
      </c>
      <c r="D25" s="20" t="inlineStr">
        <is>
          <t>Como empleado quiero que mis atajos se cobren mas tarde en el turno para poder aprender que el protocolo me hace eficiente</t>
        </is>
      </c>
      <c r="E25" s="22" t="n">
        <v>1</v>
      </c>
      <c r="F25" s="19" t="n">
        <v>24</v>
      </c>
      <c r="G25" s="19" t="inlineStr">
        <is>
          <t>Alta</t>
        </is>
      </c>
      <c r="H25" s="20" t="inlineStr">
        <is>
          <t>Item A5, 'lo que diferencia esto de un quiz'. Implementa la tabla atajo -&gt; costo definida en el PBI 2.0.</t>
        </is>
      </c>
      <c r="I25" s="20" t="inlineStr">
        <is>
          <t>Jugar un turno tomando deliberadamente el atajo de no verificar identidad y verificar que aproximadamente 2 minutos despues el caso vuelve rebotado con la cola llena. Repetir el turno sin el atajo y confirmar que el score final es mejor aunque las primeras tareas hayan tardado mas.</t>
        </is>
      </c>
      <c r="J25" s="24" t="inlineStr">
        <is>
          <t>Sprint-Nro2</t>
        </is>
      </c>
    </row>
    <row r="26" ht="74" customHeight="1">
      <c r="A26" s="19" t="inlineStr">
        <is>
          <t>24.0</t>
        </is>
      </c>
      <c r="B26" s="20" t="inlineStr">
        <is>
          <t>1 - Turno de trabajo</t>
        </is>
      </c>
      <c r="C26" s="21" t="inlineStr">
        <is>
          <t>Score del turno + record personal</t>
        </is>
      </c>
      <c r="D26" s="20" t="inlineStr">
        <is>
          <t>Como empleado quiero un score al cierre y mi record personal para tener algo propio que superar</t>
        </is>
      </c>
      <c r="E26" s="22" t="n">
        <v>1</v>
      </c>
      <c r="F26" s="19" t="n">
        <v>12</v>
      </c>
      <c r="G26" s="19" t="inlineStr">
        <is>
          <t>Baja</t>
        </is>
      </c>
      <c r="H26" s="20" t="inlineStr">
        <is>
          <t>Item A6, motor de rejugabilidad. El record es propio, no un ranking entre companeros.</t>
        </is>
      </c>
      <c r="I26" s="20" t="inlineStr">
        <is>
          <t>Jugar dos turnos y verificar que el segundo muestra el score del primero como record a superar. Superarlo y confirmar que el record se actualiza y queda guardado al recargar la pagina.</t>
        </is>
      </c>
      <c r="J26" s="24" t="inlineStr">
        <is>
          <t>Sprint-Nro2</t>
        </is>
      </c>
    </row>
    <row r="27" ht="74" customHeight="1">
      <c r="A27" s="19" t="inlineStr">
        <is>
          <t>25.0</t>
        </is>
      </c>
      <c r="B27" s="20" t="inlineStr">
        <is>
          <t>6 - Plataforma</t>
        </is>
      </c>
      <c r="C27" s="21" t="inlineStr">
        <is>
          <t>Persistencia real del progreso</t>
        </is>
      </c>
      <c r="D27" s="20" t="inlineStr">
        <is>
          <t>Como empleado quiero que mi XP, nivel y records sobrevivan a cerrar el navegador para que el progreso se sienta real</t>
        </is>
      </c>
      <c r="E27" s="22" t="n">
        <v>1</v>
      </c>
      <c r="F27" s="19" t="n">
        <v>18</v>
      </c>
      <c r="G27" s="19" t="inlineStr">
        <is>
          <t>Media</t>
        </is>
      </c>
      <c r="H27" s="20" t="inlineStr">
        <is>
          <t>Cierra el bache T3. Hoy el progreso vive en memoria de sesion.</t>
        </is>
      </c>
      <c r="I27" s="20" t="inlineStr">
        <is>
          <t>Jugar un turno, cerrar el navegador por completo, volver a entrar y verificar que el XP, el nivel y el record personal siguen ahi. Verificar en la base que existe la fila correspondiente.</t>
        </is>
      </c>
      <c r="J27" s="24" t="inlineStr">
        <is>
          <t>Sprint-Nro2</t>
        </is>
      </c>
    </row>
    <row r="28" ht="74" customHeight="1">
      <c r="A28" s="19" t="inlineStr">
        <is>
          <t>26.0</t>
        </is>
      </c>
      <c r="B28" s="20" t="inlineStr">
        <is>
          <t>1 - Turno de trabajo</t>
        </is>
      </c>
      <c r="C28" s="21" t="inlineStr">
        <is>
          <t>Test de jugabilidad con 5 a 10 personas reales</t>
        </is>
      </c>
      <c r="D28" s="20" t="inlineStr">
        <is>
          <t>Como equipo queremos observar a gente real jugando para poder dejar de decidir por intuicion</t>
        </is>
      </c>
      <c r="E28" s="22" t="n">
        <v>1</v>
      </c>
      <c r="F28" s="19" t="n">
        <v>16</v>
      </c>
      <c r="G28" s="19" t="inlineStr">
        <is>
          <t>Media</t>
        </is>
      </c>
      <c r="H28" s="20" t="inlineStr">
        <is>
          <t>Item A7, cierra el bache B2. La metrica que importa no es si les gusto: es si volvieron a jugar sin que se lo pidieramos.</t>
        </is>
      </c>
      <c r="I28" s="20" t="inlineStr">
        <is>
          <t>Correr las sesiones con al menos 5 personas, dejarles el link y no pedirles nada mas. A la semana, revisar cuantas volvieron a jugar por su cuenta y cuantas veces. Documentar el numero, sea el que sea.</t>
        </is>
      </c>
      <c r="J28" s="24" t="inlineStr">
        <is>
          <t>Sprint-Nro2</t>
        </is>
      </c>
    </row>
    <row r="29" ht="74" customHeight="1">
      <c r="A29" s="19" t="inlineStr">
        <is>
          <t>27.0</t>
        </is>
      </c>
      <c r="B29" s="20" t="inlineStr">
        <is>
          <t>2 - Taller de misiones</t>
        </is>
      </c>
      <c r="C29" s="21" t="inlineStr">
        <is>
          <t>Carga real de documentos e ingesta a RAG</t>
        </is>
      </c>
      <c r="D29" s="20" t="inlineStr">
        <is>
          <t>Como equipo de contenidos quiero subir los manuales reales de la empresa para que la IA trabaje sobre su documentacion y no sobre ejemplos enlatados</t>
        </is>
      </c>
      <c r="E29" s="22" t="n">
        <v>1</v>
      </c>
      <c r="F29" s="19" t="n">
        <v>30</v>
      </c>
      <c r="G29" s="19" t="inlineStr">
        <is>
          <t>Alta</t>
        </is>
      </c>
      <c r="H29" s="20" t="inlineStr">
        <is>
          <t>Cierra el bache T2. PostgreSQL + pgvector. Soporte de PDF y DOCX con chunking y embeddings.</t>
        </is>
      </c>
      <c r="I29" s="20" t="inlineStr">
        <is>
          <t>Subir un manual real de al menos 30 paginas, verificar que se procesa completo, y hacer una consulta sobre un procedimiento que este solo en la pagina 24: la respuesta debe citar ese fragmento.</t>
        </is>
      </c>
      <c r="J29" s="25" t="inlineStr">
        <is>
          <t>Sprint-Nro3</t>
        </is>
      </c>
    </row>
    <row r="30" ht="74" customHeight="1">
      <c r="A30" s="19" t="inlineStr">
        <is>
          <t>28.0</t>
        </is>
      </c>
      <c r="B30" s="20" t="inlineStr">
        <is>
          <t>2 - Taller de misiones</t>
        </is>
      </c>
      <c r="C30" s="21" t="inlineStr">
        <is>
          <t>Clasificador de tipo de contenido</t>
        </is>
      </c>
      <c r="D30" s="20" t="inlineStr">
        <is>
          <t>Como equipo de contenidos quiero que el sistema sugiera que mecanica le queda a cada documento para no tener que decidirlo a ciegas</t>
        </is>
      </c>
      <c r="E30" s="19" t="n">
        <v>2</v>
      </c>
      <c r="F30" s="19" t="n">
        <v>18</v>
      </c>
      <c r="G30" s="19" t="inlineStr">
        <is>
          <t>Alta</t>
        </is>
      </c>
      <c r="H30" s="20" t="inlineStr">
        <is>
          <t>Cierra el bache B5. Resuelve la pregunta abierta #4: la IA sugiere y el humano confirma, nunca decide sola.</t>
        </is>
      </c>
      <c r="I30" s="20" t="inlineStr">
        <is>
          <t>Subir 5 documentos de distinto tipo (un protocolo ISO, un manual de atencion al cliente, un checklist de apertura, un procedimiento de crisis y uno mixto) y verificar que la sugerencia de tipo es razonable en al menos 4 de 5, y que en todos los casos el funcional puede cambiarla.</t>
        </is>
      </c>
      <c r="J30" s="25" t="inlineStr">
        <is>
          <t>Sprint-Nro3</t>
        </is>
      </c>
    </row>
    <row r="31" ht="74" customHeight="1">
      <c r="A31" s="19" t="inlineStr">
        <is>
          <t>29.0</t>
        </is>
      </c>
      <c r="B31" s="20" t="inlineStr">
        <is>
          <t>5 - Modo sensible</t>
        </is>
      </c>
      <c r="C31" s="21" t="inlineStr">
        <is>
          <t>Alerta de sensibilidad + marcado manual del funcional</t>
        </is>
      </c>
      <c r="D31" s="20" t="inlineStr">
        <is>
          <t>Como funcional quiero que el sistema me avise si un documento parece sensible pero que la decision final sea mia para que ningun contenido delicado se clasifique solo</t>
        </is>
      </c>
      <c r="E31" s="22" t="n">
        <v>1</v>
      </c>
      <c r="F31" s="19" t="n">
        <v>14</v>
      </c>
      <c r="G31" s="19" t="inlineStr">
        <is>
          <t>Media</t>
        </is>
      </c>
      <c r="H31" s="20" t="inlineStr">
        <is>
          <t>Decision 4.3: la IA puede sugerir la sensibilidad como alerta pero nunca la decide. Bloquea la publicacion si no hubo marcado explicito.</t>
        </is>
      </c>
      <c r="I31" s="20" t="inlineStr">
        <is>
          <t>Subir un documento sobre violencia de genero y verificar que aparece la alerta de sensibilidad. Intentar publicar la mision sin marcar la sensibilidad a mano y confirmar que el sistema no lo permite.</t>
        </is>
      </c>
      <c r="J31" s="25" t="inlineStr">
        <is>
          <t>Sprint-Nro3</t>
        </is>
      </c>
    </row>
    <row r="32" ht="74" customHeight="1">
      <c r="A32" s="19" t="inlineStr">
        <is>
          <t>30.0</t>
        </is>
      </c>
      <c r="B32" s="20" t="inlineStr">
        <is>
          <t>2 - Taller de misiones</t>
        </is>
      </c>
      <c r="C32" s="21" t="inlineStr">
        <is>
          <t>Generacion del contenido del turno con IA</t>
        </is>
      </c>
      <c r="D32" s="20" t="inlineStr">
        <is>
          <t>Como equipo de contenidos quiero que la IA proponga las estaciones, tareas, duraciones y eventos del turno para poder crear una mision en horas y no en semanas</t>
        </is>
      </c>
      <c r="E32" s="22" t="n">
        <v>1</v>
      </c>
      <c r="F32" s="19" t="n">
        <v>32</v>
      </c>
      <c r="G32" s="19" t="inlineStr">
        <is>
          <t>Alta</t>
        </is>
      </c>
      <c r="H32" s="20" t="inlineStr">
        <is>
          <t>Item C4 y la pieza que falta para que el giro al turno sea escalable: ya no se generan arboles de dialogo sino la ficha de datos del turno (decision 4.5, motores + ficha abstracta).</t>
        </is>
      </c>
      <c r="I32" s="20" t="inlineStr">
        <is>
          <t>Cargar la documentacion de un rubro nuevo (no telecomunicaciones), pedir la generacion y verificar que la propuesta incluye estaciones, tareas con duracion, catalogo de eventos y consecuencias diferidas coherentes con ese rubro. Publicarla y jugarla sin escribir codigo nuevo.</t>
        </is>
      </c>
      <c r="J32" s="25" t="inlineStr">
        <is>
          <t>Sprint-Nro3</t>
        </is>
      </c>
    </row>
    <row r="33" ht="74" customHeight="1">
      <c r="A33" s="19" t="inlineStr">
        <is>
          <t>31.0</t>
        </is>
      </c>
      <c r="B33" s="20" t="inlineStr">
        <is>
          <t>2 - Taller de misiones</t>
        </is>
      </c>
      <c r="C33" s="21" t="inlineStr">
        <is>
          <t>Flujo de aprobacion con revisor especializado</t>
        </is>
      </c>
      <c r="D33" s="20" t="inlineStr">
        <is>
          <t>Como responsable de RRHH quiero que el contenido sensible pase por un revisor especializado para que nada delicado llegue a un empleado aprobado por un admin cualquiera</t>
        </is>
      </c>
      <c r="E33" s="22" t="n">
        <v>1</v>
      </c>
      <c r="F33" s="19" t="n">
        <v>18</v>
      </c>
      <c r="G33" s="19" t="inlineStr">
        <is>
          <t>Media</t>
        </is>
      </c>
      <c r="H33" s="20" t="inlineStr">
        <is>
          <t>Item C5 y no negociable 3. El rol de revisor especializado (RRHH / legal / psicologia) es distinto del admin.</t>
        </is>
      </c>
      <c r="I33" s="20" t="inlineStr">
        <is>
          <t>Marcar una mision como sensible e intentar aprobarla con un usuario admin comun: debe ser rechazado. Aprobarla con un usuario de rol revisor especializado y confirmar que ahi si se publica, quedando registrado quien aprobo y cuando.</t>
        </is>
      </c>
      <c r="J33" s="25" t="inlineStr">
        <is>
          <t>Sprint-Nro3</t>
        </is>
      </c>
    </row>
    <row r="34" ht="74" customHeight="1">
      <c r="A34" s="19" t="inlineStr">
        <is>
          <t>32.0</t>
        </is>
      </c>
      <c r="B34" s="20" t="inlineStr">
        <is>
          <t>6 - Plataforma</t>
        </is>
      </c>
      <c r="C34" s="21" t="inlineStr">
        <is>
          <t>El runtime consume misiones publicadas del backend</t>
        </is>
      </c>
      <c r="D34" s="20" t="inlineStr">
        <is>
          <t>Como empleado quiero jugar las misiones que el equipo de contenidos publico para que el contenido deje de estar hardcodeado en el juego</t>
        </is>
      </c>
      <c r="E34" s="22" t="n">
        <v>1</v>
      </c>
      <c r="F34" s="19" t="n">
        <v>22</v>
      </c>
      <c r="G34" s="19" t="inlineStr">
        <is>
          <t>Alta</t>
        </is>
      </c>
      <c r="H34" s="20" t="inlineStr">
        <is>
          <t>Es la union de las dos mitades del producto: el Taller deja de ser una demo y el juego deja de tener contenido fijo.</t>
        </is>
      </c>
      <c r="I34" s="20" t="inlineStr">
        <is>
          <t>Publicar una mision nueva desde el Taller, entrar al juego con un usuario empleado y verificar que la mision aparece disponible y se puede jugar completa sin ningun deploy ni cambio de codigo.</t>
        </is>
      </c>
      <c r="J34" s="25" t="inlineStr">
        <is>
          <t>Sprint-Nro3</t>
        </is>
      </c>
    </row>
    <row r="35" ht="74" customHeight="1">
      <c r="A35" s="19" t="inlineStr">
        <is>
          <t>33.0</t>
        </is>
      </c>
      <c r="B35" s="20" t="inlineStr">
        <is>
          <t>7 - Medicion</t>
        </is>
      </c>
      <c r="C35" s="21" t="inlineStr">
        <is>
          <t>Telemetria por partida</t>
        </is>
      </c>
      <c r="D35" s="20" t="inlineStr">
        <is>
          <t>Como equipo queremos registrar que paso en cada partida para poder medir habilidad y no solo 'completado'</t>
        </is>
      </c>
      <c r="E35" s="22" t="n">
        <v>1</v>
      </c>
      <c r="F35" s="19" t="n">
        <v>18</v>
      </c>
      <c r="G35" s="19" t="inlineStr">
        <is>
          <t>Media</t>
        </is>
      </c>
      <c r="H35" s="20" t="inlineStr">
        <is>
          <t>Item B2 y no negociable 4. Se registra: atajos tomados, protocolos cumplidos, tiempo por tarea, eventos resueltos y fallidos.</t>
        </is>
      </c>
      <c r="I35" s="20" t="inlineStr">
        <is>
          <t>Jugar 3 turnos y consultar la base: debe haber una fila por partida con los atajos tomados, los protocolos cumplidos y el tiempo por tarea. Verificar que dos partidas del mismo jugador se pueden comparar entre si.</t>
        </is>
      </c>
      <c r="J35" s="25" t="inlineStr">
        <is>
          <t>Sprint-Nro3</t>
        </is>
      </c>
    </row>
    <row r="36" ht="74" customHeight="1">
      <c r="A36" s="19" t="inlineStr">
        <is>
          <t>34.0</t>
        </is>
      </c>
      <c r="B36" s="20" t="inlineStr">
        <is>
          <t>7 - Medicion</t>
        </is>
      </c>
      <c r="C36" s="21" t="inlineStr">
        <is>
          <t>Definir e implementar la metrica de 'aprendio'</t>
        </is>
      </c>
      <c r="D36" s="20" t="inlineStr">
        <is>
          <t>Como equipo queremos una metrica explicita de aprendizaje para poder sostener el objetivo declarado de habilidad medible</t>
        </is>
      </c>
      <c r="E36" s="22" t="n">
        <v>1</v>
      </c>
      <c r="F36" s="19" t="n">
        <v>14</v>
      </c>
      <c r="G36" s="19" t="inlineStr">
        <is>
          <t>Alta</t>
        </is>
      </c>
      <c r="H36" s="20" t="inlineStr">
        <is>
          <t>Item B1, cierra el bache B3. Hipotesis de trabajo: la eficiencia del turno sube con las repeticiones y los atajos bajan.</t>
        </is>
      </c>
      <c r="I36" s="20" t="inlineStr">
        <is>
          <t>Revisar el documento de la metrica y verificar que define formula, umbral y fuente de datos. Correr el calculo sobre las partidas de telemetria existentes y confirmar que devuelve un numero interpretable por partida y por jugador.</t>
        </is>
      </c>
      <c r="J36" s="25" t="inlineStr">
        <is>
          <t>Sprint-Nro3</t>
        </is>
      </c>
    </row>
    <row r="37" ht="74" customHeight="1">
      <c r="A37" s="19" t="inlineStr">
        <is>
          <t>35.0</t>
        </is>
      </c>
      <c r="B37" s="20" t="inlineStr">
        <is>
          <t>6 - Plataforma</t>
        </is>
      </c>
      <c r="C37" s="21" t="inlineStr">
        <is>
          <t>Autenticacion y multi-tenant</t>
        </is>
      </c>
      <c r="D37" s="20" t="inlineStr">
        <is>
          <t>Como empresa cliente quiero que mis datos y mis misiones esten aislados de las de otras empresas para poder usar la plataforma</t>
        </is>
      </c>
      <c r="E37" s="22" t="n">
        <v>1</v>
      </c>
      <c r="F37" s="19" t="n">
        <v>24</v>
      </c>
      <c r="G37" s="19" t="inlineStr">
        <is>
          <t>Alta</t>
        </is>
      </c>
      <c r="H37" s="20" t="inlineStr">
        <is>
          <t>Cierra el bache T4. Roles: empleado, admin de L&amp;D, revisor especializado.</t>
        </is>
      </c>
      <c r="I37" s="20" t="inlineStr">
        <is>
          <t>Crear dos empresas con misiones propias, entrar con un usuario de la empresa A y verificar que no ve ni un dato de la empresa B (ni misiones, ni empleados, ni metricas). Verificar que cada rol solo accede a las pantallas que le corresponden.</t>
        </is>
      </c>
      <c r="J37" s="25" t="inlineStr">
        <is>
          <t>Sprint-Nro3</t>
        </is>
      </c>
    </row>
    <row r="38" ht="74" customHeight="1">
      <c r="A38" s="19" t="inlineStr">
        <is>
          <t>36.0</t>
        </is>
      </c>
      <c r="B38" s="20" t="inlineStr">
        <is>
          <t>2 - Taller de misiones</t>
        </is>
      </c>
      <c r="C38" s="21" t="inlineStr">
        <is>
          <t>Pipeline completo end-to-end con documentacion real</t>
        </is>
      </c>
      <c r="D38" s="20" t="inlineStr">
        <is>
          <t>Como equipo queremos recorrer el pipeline completo con documentacion real de una empresa para poder confirmar que la propuesta funciona fuera del ejemplo que armamos nosotros</t>
        </is>
      </c>
      <c r="E38" s="22" t="n">
        <v>1</v>
      </c>
      <c r="F38" s="19" t="n">
        <v>20</v>
      </c>
      <c r="G38" s="19" t="inlineStr">
        <is>
          <t>Media</t>
        </is>
      </c>
      <c r="H38" s="20" t="inlineStr">
        <is>
          <t>Ejercita el pipeline de la decision 4.2 de punta a punta: documentacion -&gt; RAG -&gt; brief -&gt; generacion -&gt; revision humana -&gt; publicacion -&gt; partida.</t>
        </is>
      </c>
      <c r="I38" s="20" t="inlineStr">
        <is>
          <t>Elegir una empresa y un procedimiento real, recorrer el pipeline sin intervenciones manuales fuera de las previstas, y cronometrar cuanto tarda una persona de contenidos en publicar una mision jugable. Documentar el tiempo y los puntos donde se trabo.</t>
        </is>
      </c>
      <c r="J38" s="25" t="inlineStr">
        <is>
          <t>Sprint-Nro3</t>
        </is>
      </c>
    </row>
    <row r="39" ht="74" customHeight="1">
      <c r="A39" s="19" t="inlineStr">
        <is>
          <t>37.0</t>
        </is>
      </c>
      <c r="B39" s="20" t="inlineStr">
        <is>
          <t>3 - Vista de admin</t>
        </is>
      </c>
      <c r="C39" s="21" t="inlineStr">
        <is>
          <t>Vista de admin con datos reales</t>
        </is>
      </c>
      <c r="D39" s="20" t="inlineStr">
        <is>
          <t>Como lider de L&amp;D quiero ver el estado real de mi equipo priorizado por quien necesita ayuda para poder intervenir donde sirve</t>
        </is>
      </c>
      <c r="E39" s="22" t="n">
        <v>1</v>
      </c>
      <c r="F39" s="19" t="n">
        <v>26</v>
      </c>
      <c r="G39" s="19" t="inlineStr">
        <is>
          <t>Alta</t>
        </is>
      </c>
      <c r="H39" s="20" t="inlineStr">
        <is>
          <t>Item D2, cierra el bache B6. Alimentada por la telemetria del PBI 33.0. No es una tabla plana.</t>
        </is>
      </c>
      <c r="I39" s="20" t="inlineStr">
        <is>
          <t>Entrar como admin con al menos 20 partidas cargadas y verificar que la vista abre con el bloque 'necesita atencion' primero, que cada fila sugiere una accion concreta, y que ningun dato mostrado es un simple 'completo / no completo'.</t>
        </is>
      </c>
      <c r="J39" s="26" t="inlineStr">
        <is>
          <t>Sprint-Nro4</t>
        </is>
      </c>
    </row>
    <row r="40" ht="74" customHeight="1">
      <c r="A40" s="19" t="inlineStr">
        <is>
          <t>38.0</t>
        </is>
      </c>
      <c r="B40" s="20" t="inlineStr">
        <is>
          <t>7 - Medicion</t>
        </is>
      </c>
      <c r="C40" s="21" t="inlineStr">
        <is>
          <t>Comparativa primera partida vs. quinta partida</t>
        </is>
      </c>
      <c r="D40" s="20" t="inlineStr">
        <is>
          <t>Como lider quiero comparar la primera partida de un empleado con la quinta para poder ver si realmente mejoro</t>
        </is>
      </c>
      <c r="E40" s="22" t="n">
        <v>1</v>
      </c>
      <c r="F40" s="19" t="n">
        <v>16</v>
      </c>
      <c r="G40" s="19" t="inlineStr">
        <is>
          <t>Media</t>
        </is>
      </c>
      <c r="H40" s="20" t="inlineStr">
        <is>
          <t>Item B3. Es la evidencia central de la tesis: la habilidad medible.</t>
        </is>
      </c>
      <c r="I40" s="20" t="inlineStr">
        <is>
          <t>Tomar un empleado con al menos 5 partidas y verificar que la vista muestra la evolucion de eficiencia, atajos y protocolos cumplidos entre la primera y la quinta, con la diferencia expresada en numeros.</t>
        </is>
      </c>
      <c r="J40" s="26" t="inlineStr">
        <is>
          <t>Sprint-Nro4</t>
        </is>
      </c>
    </row>
    <row r="41" ht="74" customHeight="1">
      <c r="A41" s="19" t="inlineStr">
        <is>
          <t>39.0</t>
        </is>
      </c>
      <c r="B41" s="20" t="inlineStr">
        <is>
          <t>5 - Modo sensible</t>
        </is>
      </c>
      <c r="C41" s="21" t="inlineStr">
        <is>
          <t>Respetar el opt-out del modo sensible en los reportes</t>
        </is>
      </c>
      <c r="D41" s="20" t="inlineStr">
        <is>
          <t>Como empleado quiero poder saltear un contenido sensible sin que mi manager lo vea como incompleto para que el opt-out sea real</t>
        </is>
      </c>
      <c r="E41" s="22" t="n">
        <v>1</v>
      </c>
      <c r="F41" s="19" t="n">
        <v>10</v>
      </c>
      <c r="G41" s="19" t="inlineStr">
        <is>
          <t>Baja</t>
        </is>
      </c>
      <c r="H41" s="20" t="inlineStr">
        <is>
          <t>Item D3 y decision 4.4. Si el opt-out aparece como 'no completado' ante el manager, el opt-out no existe.</t>
        </is>
      </c>
      <c r="I41" s="20" t="inlineStr">
        <is>
          <t>Saltear un contenido sensible como empleado, entrar como su manager y verificar que ese contenido no figura como pendiente ni como incompleto, y que no hay ninguna senal indirecta que permita inferir que lo salteo.</t>
        </is>
      </c>
      <c r="J41" s="26" t="inlineStr">
        <is>
          <t>Sprint-Nro4</t>
        </is>
      </c>
    </row>
    <row r="42" ht="74" customHeight="1">
      <c r="A42" s="19" t="inlineStr">
        <is>
          <t>40.0</t>
        </is>
      </c>
      <c r="B42" s="20" t="inlineStr">
        <is>
          <t>5 - Modo sensible</t>
        </is>
      </c>
      <c r="C42" s="21" t="inlineStr">
        <is>
          <t>Modo sensible implementado en el runtime</t>
        </is>
      </c>
      <c r="D42" s="20" t="inlineStr">
        <is>
          <t>Como empleado quiero atravesar contenido sensible dentro del juego real sin competencia ni puntaje para que el interruptor deje de ser un mock</t>
        </is>
      </c>
      <c r="E42" s="22" t="n">
        <v>1</v>
      </c>
      <c r="F42" s="19" t="n">
        <v>22</v>
      </c>
      <c r="G42" s="19" t="inlineStr">
        <is>
          <t>Alta</t>
        </is>
      </c>
      <c r="H42" s="20" t="inlineStr">
        <is>
          <t>Cierra el bache B4. El interruptor aplica sobre cualquier evento del turno: apaga timer, puntaje y XP automaticamente (no negociable 5).</t>
        </is>
      </c>
      <c r="I42" s="20" t="inlineStr">
        <is>
          <t>Publicar una mision marcada como sensible, jugarla y verificar que no hay timer, ni puntaje, ni XP otorgado, ni comparacion con otros; que el feedback es de acompanamiento; que estan los canales reales de ayuda; y que el jugador nunca ocupa el lugar de la victima.</t>
        </is>
      </c>
      <c r="J42" s="26" t="inlineStr">
        <is>
          <t>Sprint-Nro4</t>
        </is>
      </c>
    </row>
    <row r="43" ht="74" customHeight="1">
      <c r="A43" s="19" t="inlineStr">
        <is>
          <t>41.0</t>
        </is>
      </c>
      <c r="B43" s="20" t="inlineStr">
        <is>
          <t>4 - Progresion y mundo</t>
        </is>
      </c>
      <c r="C43" s="21" t="inlineStr">
        <is>
          <t>Arbol de habilidades alimentado por la rubrica</t>
        </is>
      </c>
      <c r="D43" s="20" t="inlineStr">
        <is>
          <t>Como empleado quiero que mi arbol de habilidades crezca con lo que demostre en las partidas para que la progresion refleje habilidad y no tiempo jugado</t>
        </is>
      </c>
      <c r="E43" s="19" t="n">
        <v>2</v>
      </c>
      <c r="F43" s="19" t="n">
        <v>22</v>
      </c>
      <c r="G43" s="19" t="inlineStr">
        <is>
          <t>Alta</t>
        </is>
      </c>
      <c r="H43" s="20" t="inlineStr">
        <is>
          <t>Item E2, cierra el bache B7. Se alimenta de los puntos de rubrica que ya calculamos en el runtime.</t>
        </is>
      </c>
      <c r="I43" s="20" t="inlineStr">
        <is>
          <t>Jugar una partida resolviendo bien un evento interpersonal y verificar que el nodo de la rama correspondiente avanza. Jugar una partida floja y confirmar que el arbol no avanza por el solo hecho de haber jugado.</t>
        </is>
      </c>
      <c r="J43" s="26" t="inlineStr">
        <is>
          <t>Sprint-Nro4</t>
        </is>
      </c>
    </row>
    <row r="44" ht="74" customHeight="1">
      <c r="A44" s="19" t="inlineStr">
        <is>
          <t>42.0</t>
        </is>
      </c>
      <c r="B44" s="20" t="inlineStr">
        <is>
          <t>4 - Progresion y mundo</t>
        </is>
      </c>
      <c r="C44" s="21" t="inlineStr">
        <is>
          <t>Mundo con multiples escenarios navegables</t>
        </is>
      </c>
      <c r="D44" s="20" t="inlineStr">
        <is>
          <t>Como empleado quiero elegir a que escenario ir para que la plataforma deje de ser una sola mision</t>
        </is>
      </c>
      <c r="E44" s="19" t="n">
        <v>2</v>
      </c>
      <c r="F44" s="19" t="n">
        <v>26</v>
      </c>
      <c r="G44" s="19" t="inlineStr">
        <is>
          <t>Alta</t>
        </is>
      </c>
      <c r="H44" s="20" t="inlineStr">
        <is>
          <t>Item E3, cierra el bache B8. Mapa de mundo con los escenarios disponibles segun lo que publico la empresa.</t>
        </is>
      </c>
      <c r="I44" s="20" t="inlineStr">
        <is>
          <t>Entrar como empleado de una empresa con 3 misiones publicadas y verificar que el mapa de mundo muestra las 3, que se puede entrar y salir de cada una, y que el progreso de cada escenario se guarda por separado.</t>
        </is>
      </c>
      <c r="J44" s="26" t="inlineStr">
        <is>
          <t>Sprint-Nro4</t>
        </is>
      </c>
    </row>
    <row r="45" ht="74" customHeight="1">
      <c r="A45" s="19" t="inlineStr">
        <is>
          <t>43.0</t>
        </is>
      </c>
      <c r="B45" s="20" t="inlineStr">
        <is>
          <t>1 - Turno de trabajo</t>
        </is>
      </c>
      <c r="C45" s="21" t="inlineStr">
        <is>
          <t>Segundo escenario de turno generado por el Taller</t>
        </is>
      </c>
      <c r="D45" s="20" t="inlineStr">
        <is>
          <t>Como equipo queremos un segundo escenario de rubro distinto creado solo con el Taller para poder demostrar que el motor es generico</t>
        </is>
      </c>
      <c r="E45" s="22" t="n">
        <v>1</v>
      </c>
      <c r="F45" s="19" t="n">
        <v>24</v>
      </c>
      <c r="G45" s="19" t="inlineStr">
        <is>
          <t>Alta</t>
        </is>
      </c>
      <c r="H45" s="20" t="inlineStr">
        <is>
          <t>Prueba de fuego de la decision 4.5: mismo motor, ficha de datos distinta, cero codigo nuevo. Rubro distinto a telecomunicaciones.</t>
        </is>
      </c>
      <c r="I45" s="20" t="inlineStr">
        <is>
          <t>Crear el escenario usando unicamente el Taller, sin tocar el codigo del juego, y jugarlo completo. Verificar en el control de versiones que no hubo commits de codigo de juego entre la publicacion y la partida.</t>
        </is>
      </c>
      <c r="J45" s="26" t="inlineStr">
        <is>
          <t>Sprint-Nro4</t>
        </is>
      </c>
    </row>
    <row r="46" ht="74" customHeight="1">
      <c r="A46" s="19" t="inlineStr">
        <is>
          <t>44.0</t>
        </is>
      </c>
      <c r="B46" s="20" t="inlineStr">
        <is>
          <t>7 - Medicion</t>
        </is>
      </c>
      <c r="C46" s="21" t="inlineStr">
        <is>
          <t>Piloto real con datos de enganche para la tesis</t>
        </is>
      </c>
      <c r="D46" s="20" t="inlineStr">
        <is>
          <t>Como equipo queremos correr un piloto con usuarios reales durante dos semanas para poder probar que la gente vuelve por gusto y no por obligacion</t>
        </is>
      </c>
      <c r="E46" s="22" t="n">
        <v>1</v>
      </c>
      <c r="F46" s="19" t="n">
        <v>24</v>
      </c>
      <c r="G46" s="19" t="inlineStr">
        <is>
          <t>Alta</t>
        </is>
      </c>
      <c r="H46" s="20" t="inlineStr">
        <is>
          <t>Es el objetivo declarado del proyecto academico. La metrica que cuenta: partidas voluntarias por usuario despues de la primera, sin que nadie se lo pida.</t>
        </is>
      </c>
      <c r="I46" s="20" t="inlineStr">
        <is>
          <t>Correr el piloto con al menos 10 personas durante 2 semanas sin recordatorios ni obligacion. Medir: cuantas volvieron sin que se les pidiera, cuantas partidas por persona, y si la eficiencia del turno mejoro entre la primera y la ultima. Documentar los numeros reales.</t>
        </is>
      </c>
      <c r="J46" s="26" t="inlineStr">
        <is>
          <t>Sprint-Nro4</t>
        </is>
      </c>
    </row>
    <row r="47" ht="74" customHeight="1">
      <c r="A47" s="19" t="inlineStr">
        <is>
          <t>45.0</t>
        </is>
      </c>
      <c r="B47" s="20" t="inlineStr">
        <is>
          <t>6 - Plataforma</t>
        </is>
      </c>
      <c r="C47" s="21" t="inlineStr">
        <is>
          <t>Hardening: performance, accesibilidad y pulido de UX</t>
        </is>
      </c>
      <c r="D47" s="20" t="inlineStr">
        <is>
          <t>Como usuario quiero que la plataforma sea rapida y usable para que la experiencia no se caiga en la demo final</t>
        </is>
      </c>
      <c r="E47" s="19" t="n">
        <v>2</v>
      </c>
      <c r="F47" s="19" t="n">
        <v>18</v>
      </c>
      <c r="G47" s="19" t="inlineStr">
        <is>
          <t>Media</t>
        </is>
      </c>
      <c r="H47" s="20" t="inlineStr">
        <is>
          <t>Revision final contra las decisiones de UX de la seccion 4.8 y contra los bugs abiertos del piloto.</t>
        </is>
      </c>
      <c r="I47" s="20" t="inlineStr">
        <is>
          <t>Correr el turno en un equipo de gama baja y verificar que se mantiene fluido. Revisar contraste y navegacion por teclado en las pantallas principales. Confirmar que no queda ningun bug bloqueante abierto del piloto.</t>
        </is>
      </c>
      <c r="J47" s="26" t="inlineStr">
        <is>
          <t>Sprint-Nro4</t>
        </is>
      </c>
    </row>
    <row r="48" ht="74" customHeight="1">
      <c r="A48" s="19" t="inlineStr">
        <is>
          <t>46.0</t>
        </is>
      </c>
      <c r="B48" s="20" t="inlineStr">
        <is>
          <t>0 - Definicion de producto</t>
        </is>
      </c>
      <c r="C48" s="21" t="inlineStr">
        <is>
          <t>Informe final y defensa del proyecto</t>
        </is>
      </c>
      <c r="D48" s="20" t="inlineStr">
        <is>
          <t>Como equipo queremos el informe final y la defensa armados para poder presentar el proyecto en la ultima entrega</t>
        </is>
      </c>
      <c r="E48" s="22" t="n">
        <v>1</v>
      </c>
      <c r="F48" s="19" t="n">
        <v>20</v>
      </c>
      <c r="G48" s="19" t="inlineStr">
        <is>
          <t>Media</t>
        </is>
      </c>
      <c r="H48" s="20" t="inlineStr">
        <is>
          <t>Entrega del 04/12/2026. El activo mas valioso para defender el proyecto es la bitacora de cambios de rumbo: por que giramos y con que evidencia.</t>
        </is>
      </c>
      <c r="I48" s="20" t="inlineStr">
        <is>
          <t>Revisar que el informe incluya: la tesis, los datos del piloto (aunque sean malos), la bitacora de giros con su justificacion, y el estado real de cada bache. Ensayar la defensa completa cronometrada.</t>
        </is>
      </c>
      <c r="J48" s="26" t="inlineStr">
        <is>
          <t>Sprint-Nro4</t>
        </is>
      </c>
    </row>
    <row r="49">
      <c r="E49" s="10" t="inlineStr">
        <is>
          <t>TOTAL</t>
        </is>
      </c>
      <c r="F49" s="9">
        <f>SUM(F3:F48)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xSplit="8" ySplit="9" topLeftCell="I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1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</cols>
  <sheetData>
    <row r="1">
      <c r="A1" s="1" t="inlineStr">
        <is>
          <t>XPedia - Sprint Backlog</t>
        </is>
      </c>
    </row>
    <row r="2">
      <c r="A2" s="2" t="inlineStr">
        <is>
          <t>MVP 1 - Idea cerrada y todas las pantallas mockeadas. Nada de backend: todo hardcodeado.</t>
        </is>
      </c>
    </row>
    <row r="4">
      <c r="D4" s="14" t="inlineStr">
        <is>
          <t>SPRINT</t>
        </is>
      </c>
      <c r="E4" s="14" t="inlineStr">
        <is>
          <t>INICIO</t>
        </is>
      </c>
      <c r="F4" s="14" t="inlineStr">
        <is>
          <t>FIN</t>
        </is>
      </c>
      <c r="G4" s="14" t="inlineStr">
        <is>
          <t>DURACION (dias)</t>
        </is>
      </c>
      <c r="I4" s="27" t="inlineStr">
        <is>
          <t>J</t>
        </is>
      </c>
      <c r="J4" s="27" t="inlineStr">
        <is>
          <t>V</t>
        </is>
      </c>
      <c r="K4" s="27" t="inlineStr">
        <is>
          <t>S</t>
        </is>
      </c>
      <c r="L4" s="27" t="inlineStr">
        <is>
          <t>D</t>
        </is>
      </c>
      <c r="M4" s="27" t="inlineStr">
        <is>
          <t>L</t>
        </is>
      </c>
      <c r="N4" s="27" t="inlineStr">
        <is>
          <t>M</t>
        </is>
      </c>
      <c r="O4" s="27" t="inlineStr">
        <is>
          <t>X</t>
        </is>
      </c>
      <c r="P4" s="27" t="inlineStr">
        <is>
          <t>J</t>
        </is>
      </c>
      <c r="Q4" s="27" t="inlineStr">
        <is>
          <t>V</t>
        </is>
      </c>
      <c r="R4" s="27" t="inlineStr">
        <is>
          <t>S</t>
        </is>
      </c>
      <c r="S4" s="27" t="inlineStr">
        <is>
          <t>D</t>
        </is>
      </c>
      <c r="T4" s="27" t="inlineStr">
        <is>
          <t>L</t>
        </is>
      </c>
      <c r="U4" s="27" t="inlineStr">
        <is>
          <t>M</t>
        </is>
      </c>
      <c r="V4" s="27" t="inlineStr">
        <is>
          <t>X</t>
        </is>
      </c>
      <c r="W4" s="27" t="inlineStr">
        <is>
          <t>J</t>
        </is>
      </c>
      <c r="X4" s="27" t="inlineStr">
        <is>
          <t>V</t>
        </is>
      </c>
      <c r="Y4" s="27" t="inlineStr">
        <is>
          <t>S</t>
        </is>
      </c>
      <c r="Z4" s="27" t="inlineStr">
        <is>
          <t>D</t>
        </is>
      </c>
    </row>
    <row r="5">
      <c r="D5" s="6" t="inlineStr">
        <is>
          <t>Sprint-Nro1</t>
        </is>
      </c>
      <c r="E5" s="28" t="n">
        <v>46289</v>
      </c>
      <c r="F5" s="28" t="n">
        <v>46306</v>
      </c>
      <c r="G5" s="6" t="n">
        <v>18</v>
      </c>
      <c r="I5" s="29" t="n">
        <v>46289</v>
      </c>
      <c r="J5" s="29" t="n">
        <v>46290</v>
      </c>
      <c r="K5" s="30" t="n">
        <v>46291</v>
      </c>
      <c r="L5" s="30" t="n">
        <v>46292</v>
      </c>
      <c r="M5" s="29" t="n">
        <v>46293</v>
      </c>
      <c r="N5" s="29" t="n">
        <v>46294</v>
      </c>
      <c r="O5" s="29" t="n">
        <v>46295</v>
      </c>
      <c r="P5" s="29" t="n">
        <v>46296</v>
      </c>
      <c r="Q5" s="29" t="n">
        <v>46297</v>
      </c>
      <c r="R5" s="30" t="n">
        <v>46298</v>
      </c>
      <c r="S5" s="30" t="n">
        <v>46299</v>
      </c>
      <c r="T5" s="29" t="n">
        <v>46300</v>
      </c>
      <c r="U5" s="29" t="n">
        <v>46301</v>
      </c>
      <c r="V5" s="29" t="n">
        <v>46302</v>
      </c>
      <c r="W5" s="29" t="n">
        <v>46303</v>
      </c>
      <c r="X5" s="29" t="n">
        <v>46304</v>
      </c>
      <c r="Y5" s="30" t="n">
        <v>46305</v>
      </c>
      <c r="Z5" s="30" t="n">
        <v>46306</v>
      </c>
    </row>
    <row r="6">
      <c r="F6" s="31" t="inlineStr">
        <is>
          <t>Tareas pendientes</t>
        </is>
      </c>
      <c r="I6" s="32">
        <f>COUNTIF(I10:I65,"&gt;0")</f>
        <v/>
      </c>
      <c r="J6" s="32">
        <f>COUNTIF(J10:J65,"&gt;0")</f>
        <v/>
      </c>
      <c r="K6" s="32">
        <f>COUNTIF(K10:K65,"&gt;0")</f>
        <v/>
      </c>
      <c r="L6" s="32">
        <f>COUNTIF(L10:L65,"&gt;0")</f>
        <v/>
      </c>
      <c r="M6" s="32">
        <f>COUNTIF(M10:M65,"&gt;0")</f>
        <v/>
      </c>
      <c r="N6" s="32">
        <f>COUNTIF(N10:N65,"&gt;0")</f>
        <v/>
      </c>
      <c r="O6" s="32">
        <f>COUNTIF(O10:O65,"&gt;0")</f>
        <v/>
      </c>
      <c r="P6" s="32">
        <f>COUNTIF(P10:P65,"&gt;0")</f>
        <v/>
      </c>
      <c r="Q6" s="32">
        <f>COUNTIF(Q10:Q65,"&gt;0")</f>
        <v/>
      </c>
      <c r="R6" s="32">
        <f>COUNTIF(R10:R65,"&gt;0")</f>
        <v/>
      </c>
      <c r="S6" s="32">
        <f>COUNTIF(S10:S65,"&gt;0")</f>
        <v/>
      </c>
      <c r="T6" s="32">
        <f>COUNTIF(T10:T65,"&gt;0")</f>
        <v/>
      </c>
      <c r="U6" s="32">
        <f>COUNTIF(U10:U65,"&gt;0")</f>
        <v/>
      </c>
      <c r="V6" s="32">
        <f>COUNTIF(V10:V65,"&gt;0")</f>
        <v/>
      </c>
      <c r="W6" s="32">
        <f>COUNTIF(W10:W65,"&gt;0")</f>
        <v/>
      </c>
      <c r="X6" s="32">
        <f>COUNTIF(X10:X65,"&gt;0")</f>
        <v/>
      </c>
      <c r="Y6" s="32">
        <f>COUNTIF(Y10:Y65,"&gt;0")</f>
        <v/>
      </c>
      <c r="Z6" s="32">
        <f>COUNTIF(Z10:Z65,"&gt;0")</f>
        <v/>
      </c>
    </row>
    <row r="7">
      <c r="F7" s="31" t="inlineStr">
        <is>
          <t>Esfuerzo de trabajo pendiente</t>
        </is>
      </c>
      <c r="I7" s="32">
        <f>SUM(I10:I65)</f>
        <v/>
      </c>
      <c r="J7" s="32">
        <f>SUM(J10:J65)</f>
        <v/>
      </c>
      <c r="K7" s="32">
        <f>SUM(K10:K65)</f>
        <v/>
      </c>
      <c r="L7" s="32">
        <f>SUM(L10:L65)</f>
        <v/>
      </c>
      <c r="M7" s="32">
        <f>SUM(M10:M65)</f>
        <v/>
      </c>
      <c r="N7" s="32">
        <f>SUM(N10:N65)</f>
        <v/>
      </c>
      <c r="O7" s="32">
        <f>SUM(O10:O65)</f>
        <v/>
      </c>
      <c r="P7" s="32">
        <f>SUM(P10:P65)</f>
        <v/>
      </c>
      <c r="Q7" s="32">
        <f>SUM(Q10:Q65)</f>
        <v/>
      </c>
      <c r="R7" s="32">
        <f>SUM(R10:R65)</f>
        <v/>
      </c>
      <c r="S7" s="32">
        <f>SUM(S10:S65)</f>
        <v/>
      </c>
      <c r="T7" s="32">
        <f>SUM(T10:T65)</f>
        <v/>
      </c>
      <c r="U7" s="32">
        <f>SUM(U10:U65)</f>
        <v/>
      </c>
      <c r="V7" s="32">
        <f>SUM(V10:V65)</f>
        <v/>
      </c>
      <c r="W7" s="32">
        <f>SUM(W10:W65)</f>
        <v/>
      </c>
      <c r="X7" s="32">
        <f>SUM(X10:X65)</f>
        <v/>
      </c>
      <c r="Y7" s="32">
        <f>SUM(Y10:Y65)</f>
        <v/>
      </c>
      <c r="Z7" s="32">
        <f>SUM(Z10:Z65)</f>
        <v/>
      </c>
    </row>
    <row r="8">
      <c r="A8" s="33" t="inlineStr">
        <is>
          <t>PILA DEL SPRINT  Sprint-Nro1</t>
        </is>
      </c>
      <c r="I8" s="27" t="inlineStr">
        <is>
          <t>ESFUERZO PENDIENTE POR DIA (Hs)</t>
        </is>
      </c>
    </row>
    <row r="9" ht="26" customHeight="1">
      <c r="A9" s="18" t="inlineStr">
        <is>
          <t>#PBI</t>
        </is>
      </c>
      <c r="B9" s="18" t="inlineStr">
        <is>
          <t>Tarea</t>
        </is>
      </c>
      <c r="C9" s="34" t="n"/>
      <c r="D9" s="35" t="n"/>
      <c r="E9" s="18" t="inlineStr">
        <is>
          <t>Tipo</t>
        </is>
      </c>
      <c r="F9" s="18" t="inlineStr">
        <is>
          <t>Responsable</t>
        </is>
      </c>
      <c r="G9" s="18" t="inlineStr">
        <is>
          <t>Estado</t>
        </is>
      </c>
      <c r="H9" s="18" t="inlineStr">
        <is>
          <t>Hs x Tarea</t>
        </is>
      </c>
    </row>
    <row r="10" ht="18" customHeight="1">
      <c r="A10" s="36" t="inlineStr">
        <is>
          <t>1.0</t>
        </is>
      </c>
      <c r="B10" s="37" t="inlineStr">
        <is>
          <t>Idea cerrada y defensa de la tesis (Definicion de producto)</t>
        </is>
      </c>
      <c r="C10" s="38" t="n"/>
      <c r="D10" s="38" t="n"/>
      <c r="E10" s="38" t="n"/>
      <c r="F10" s="38" t="n"/>
      <c r="G10" s="38" t="n"/>
      <c r="H10" s="38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 ht="16" customHeight="1">
      <c r="A11" s="19" t="inlineStr">
        <is>
          <t>1.1</t>
        </is>
      </c>
      <c r="B11" s="20" t="inlineStr">
        <is>
          <t>Consolidar vision, no negociables y tesis en un documento unico</t>
        </is>
      </c>
      <c r="C11" s="40" t="n"/>
      <c r="D11" s="40" t="n"/>
      <c r="E11" s="19" t="inlineStr">
        <is>
          <t>Analisis</t>
        </is>
      </c>
      <c r="F11" s="19" t="inlineStr">
        <is>
          <t>Dev 7</t>
        </is>
      </c>
      <c r="G11" s="19" t="inlineStr">
        <is>
          <t>Pendiente</t>
        </is>
      </c>
      <c r="H11" s="19" t="n">
        <v>5</v>
      </c>
      <c r="I11" s="41" t="n">
        <v>3</v>
      </c>
      <c r="J11" s="41" t="n">
        <v>1</v>
      </c>
      <c r="K11" s="42" t="n">
        <v>0</v>
      </c>
      <c r="L11" s="42" t="n">
        <v>0</v>
      </c>
      <c r="M11" s="42" t="n">
        <v>0</v>
      </c>
      <c r="N11" s="42" t="n">
        <v>0</v>
      </c>
      <c r="O11" s="42" t="n">
        <v>0</v>
      </c>
      <c r="P11" s="42" t="n">
        <v>0</v>
      </c>
      <c r="Q11" s="42" t="n">
        <v>0</v>
      </c>
      <c r="R11" s="42" t="n">
        <v>0</v>
      </c>
      <c r="S11" s="42" t="n">
        <v>0</v>
      </c>
      <c r="T11" s="42" t="n">
        <v>0</v>
      </c>
      <c r="U11" s="42" t="n">
        <v>0</v>
      </c>
      <c r="V11" s="42" t="n">
        <v>0</v>
      </c>
      <c r="W11" s="42" t="n">
        <v>0</v>
      </c>
      <c r="X11" s="42" t="n">
        <v>0</v>
      </c>
      <c r="Y11" s="42" t="n">
        <v>0</v>
      </c>
      <c r="Z11" s="42" t="n">
        <v>0</v>
      </c>
    </row>
    <row r="12" ht="16" customHeight="1">
      <c r="A12" s="19" t="inlineStr">
        <is>
          <t>1.2</t>
        </is>
      </c>
      <c r="B12" s="20" t="inlineStr">
        <is>
          <t>Cerrar por escrito las 5 preguntas abiertas de la seccion 6.3</t>
        </is>
      </c>
      <c r="C12" s="40" t="n"/>
      <c r="D12" s="40" t="n"/>
      <c r="E12" s="19" t="inlineStr">
        <is>
          <t>Analisis</t>
        </is>
      </c>
      <c r="F12" s="19" t="inlineStr">
        <is>
          <t>Dev 7</t>
        </is>
      </c>
      <c r="G12" s="19" t="inlineStr">
        <is>
          <t>Pendiente</t>
        </is>
      </c>
      <c r="H12" s="19" t="n">
        <v>4</v>
      </c>
      <c r="I12" s="41" t="n">
        <v>4</v>
      </c>
      <c r="J12" s="41" t="n">
        <v>4</v>
      </c>
      <c r="K12" s="41" t="n">
        <v>1</v>
      </c>
      <c r="L12" s="42" t="n">
        <v>0</v>
      </c>
      <c r="M12" s="42" t="n">
        <v>0</v>
      </c>
      <c r="N12" s="42" t="n">
        <v>0</v>
      </c>
      <c r="O12" s="42" t="n">
        <v>0</v>
      </c>
      <c r="P12" s="42" t="n">
        <v>0</v>
      </c>
      <c r="Q12" s="42" t="n">
        <v>0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  <c r="W12" s="42" t="n">
        <v>0</v>
      </c>
      <c r="X12" s="42" t="n">
        <v>0</v>
      </c>
      <c r="Y12" s="42" t="n">
        <v>0</v>
      </c>
      <c r="Z12" s="42" t="n">
        <v>0</v>
      </c>
    </row>
    <row r="13" ht="16" customHeight="1">
      <c r="A13" s="19" t="inlineStr">
        <is>
          <t>1.3</t>
        </is>
      </c>
      <c r="B13" s="20" t="inlineStr">
        <is>
          <t>Actualizar la bitacora de cambios de rumbo</t>
        </is>
      </c>
      <c r="C13" s="40" t="n"/>
      <c r="D13" s="40" t="n"/>
      <c r="E13" s="19" t="inlineStr">
        <is>
          <t>Documentacion</t>
        </is>
      </c>
      <c r="F13" s="19" t="inlineStr">
        <is>
          <t>Dev 7</t>
        </is>
      </c>
      <c r="G13" s="19" t="inlineStr">
        <is>
          <t>Pendiente</t>
        </is>
      </c>
      <c r="H13" s="19" t="n">
        <v>3</v>
      </c>
      <c r="I13" s="41" t="n">
        <v>3</v>
      </c>
      <c r="J13" s="41" t="n">
        <v>3</v>
      </c>
      <c r="K13" s="41" t="n">
        <v>3</v>
      </c>
      <c r="L13" s="41" t="n">
        <v>1</v>
      </c>
      <c r="M13" s="42" t="n">
        <v>0</v>
      </c>
      <c r="N13" s="42" t="n">
        <v>0</v>
      </c>
      <c r="O13" s="42" t="n">
        <v>0</v>
      </c>
      <c r="P13" s="42" t="n">
        <v>0</v>
      </c>
      <c r="Q13" s="42" t="n">
        <v>0</v>
      </c>
      <c r="R13" s="42" t="n">
        <v>0</v>
      </c>
      <c r="S13" s="42" t="n">
        <v>0</v>
      </c>
      <c r="T13" s="42" t="n">
        <v>0</v>
      </c>
      <c r="U13" s="42" t="n">
        <v>0</v>
      </c>
      <c r="V13" s="42" t="n">
        <v>0</v>
      </c>
      <c r="W13" s="42" t="n">
        <v>0</v>
      </c>
      <c r="X13" s="42" t="n">
        <v>0</v>
      </c>
      <c r="Y13" s="42" t="n">
        <v>0</v>
      </c>
      <c r="Z13" s="42" t="n">
        <v>0</v>
      </c>
    </row>
    <row r="14" ht="18" customHeight="1">
      <c r="A14" s="36" t="inlineStr">
        <is>
          <t>2.0</t>
        </is>
      </c>
      <c r="B14" s="37" t="inlineStr">
        <is>
          <t>Guion del turno de trabajo (Definicion de producto)</t>
        </is>
      </c>
      <c r="C14" s="38" t="n"/>
      <c r="D14" s="38" t="n"/>
      <c r="E14" s="38" t="n"/>
      <c r="F14" s="38" t="n"/>
      <c r="G14" s="38" t="n"/>
      <c r="H14" s="38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 ht="16" customHeight="1">
      <c r="A15" s="19" t="inlineStr">
        <is>
          <t>2.1</t>
        </is>
      </c>
      <c r="B15" s="20" t="inlineStr">
        <is>
          <t>Definir estaciones, tareas y duraciones en segundos</t>
        </is>
      </c>
      <c r="C15" s="40" t="n"/>
      <c r="D15" s="40" t="n"/>
      <c r="E15" s="19" t="inlineStr">
        <is>
          <t>Analisis</t>
        </is>
      </c>
      <c r="F15" s="19" t="inlineStr">
        <is>
          <t>Dev 3</t>
        </is>
      </c>
      <c r="G15" s="19" t="inlineStr">
        <is>
          <t>Pendiente</t>
        </is>
      </c>
      <c r="H15" s="19" t="n">
        <v>5</v>
      </c>
      <c r="I15" s="41" t="n">
        <v>3</v>
      </c>
      <c r="J15" s="41" t="n">
        <v>1</v>
      </c>
      <c r="K15" s="42" t="n">
        <v>0</v>
      </c>
      <c r="L15" s="42" t="n">
        <v>0</v>
      </c>
      <c r="M15" s="42" t="n">
        <v>0</v>
      </c>
      <c r="N15" s="42" t="n">
        <v>0</v>
      </c>
      <c r="O15" s="42" t="n">
        <v>0</v>
      </c>
      <c r="P15" s="42" t="n">
        <v>0</v>
      </c>
      <c r="Q15" s="42" t="n">
        <v>0</v>
      </c>
      <c r="R15" s="42" t="n">
        <v>0</v>
      </c>
      <c r="S15" s="42" t="n">
        <v>0</v>
      </c>
      <c r="T15" s="42" t="n">
        <v>0</v>
      </c>
      <c r="U15" s="42" t="n">
        <v>0</v>
      </c>
      <c r="V15" s="42" t="n">
        <v>0</v>
      </c>
      <c r="W15" s="42" t="n">
        <v>0</v>
      </c>
      <c r="X15" s="42" t="n">
        <v>0</v>
      </c>
      <c r="Y15" s="42" t="n">
        <v>0</v>
      </c>
      <c r="Z15" s="42" t="n">
        <v>0</v>
      </c>
    </row>
    <row r="16" ht="16" customHeight="1">
      <c r="A16" s="19" t="inlineStr">
        <is>
          <t>2.2</t>
        </is>
      </c>
      <c r="B16" s="20" t="inlineStr">
        <is>
          <t>Definir el catalogo de eventos y su frecuencia</t>
        </is>
      </c>
      <c r="C16" s="40" t="n"/>
      <c r="D16" s="40" t="n"/>
      <c r="E16" s="19" t="inlineStr">
        <is>
          <t>Analisis</t>
        </is>
      </c>
      <c r="F16" s="19" t="inlineStr">
        <is>
          <t>Dev 3</t>
        </is>
      </c>
      <c r="G16" s="19" t="inlineStr">
        <is>
          <t>Pendiente</t>
        </is>
      </c>
      <c r="H16" s="19" t="n">
        <v>5</v>
      </c>
      <c r="I16" s="41" t="n">
        <v>5</v>
      </c>
      <c r="J16" s="41" t="n">
        <v>5</v>
      </c>
      <c r="K16" s="41" t="n">
        <v>2</v>
      </c>
      <c r="L16" s="42" t="n">
        <v>0</v>
      </c>
      <c r="M16" s="42" t="n">
        <v>0</v>
      </c>
      <c r="N16" s="42" t="n">
        <v>0</v>
      </c>
      <c r="O16" s="42" t="n">
        <v>0</v>
      </c>
      <c r="P16" s="42" t="n">
        <v>0</v>
      </c>
      <c r="Q16" s="42" t="n">
        <v>0</v>
      </c>
      <c r="R16" s="42" t="n">
        <v>0</v>
      </c>
      <c r="S16" s="42" t="n">
        <v>0</v>
      </c>
      <c r="T16" s="42" t="n">
        <v>0</v>
      </c>
      <c r="U16" s="42" t="n">
        <v>0</v>
      </c>
      <c r="V16" s="42" t="n">
        <v>0</v>
      </c>
      <c r="W16" s="42" t="n">
        <v>0</v>
      </c>
      <c r="X16" s="42" t="n">
        <v>0</v>
      </c>
      <c r="Y16" s="42" t="n">
        <v>0</v>
      </c>
      <c r="Z16" s="42" t="n">
        <v>0</v>
      </c>
    </row>
    <row r="17" ht="16" customHeight="1">
      <c r="A17" s="19" t="inlineStr">
        <is>
          <t>2.3</t>
        </is>
      </c>
      <c r="B17" s="20" t="inlineStr">
        <is>
          <t>Definir la tabla atajo -&gt; consecuencia diferida</t>
        </is>
      </c>
      <c r="C17" s="40" t="n"/>
      <c r="D17" s="40" t="n"/>
      <c r="E17" s="19" t="inlineStr">
        <is>
          <t>Analisis</t>
        </is>
      </c>
      <c r="F17" s="19" t="inlineStr">
        <is>
          <t>Dev 3</t>
        </is>
      </c>
      <c r="G17" s="19" t="inlineStr">
        <is>
          <t>Pendiente</t>
        </is>
      </c>
      <c r="H17" s="19" t="n">
        <v>4</v>
      </c>
      <c r="I17" s="41" t="n">
        <v>4</v>
      </c>
      <c r="J17" s="41" t="n">
        <v>4</v>
      </c>
      <c r="K17" s="41" t="n">
        <v>4</v>
      </c>
      <c r="L17" s="41" t="n">
        <v>3</v>
      </c>
      <c r="M17" s="41" t="n">
        <v>2</v>
      </c>
      <c r="N17" s="41" t="n">
        <v>1</v>
      </c>
      <c r="O17" s="42" t="n">
        <v>0</v>
      </c>
      <c r="P17" s="42" t="n">
        <v>0</v>
      </c>
      <c r="Q17" s="42" t="n">
        <v>0</v>
      </c>
      <c r="R17" s="42" t="n">
        <v>0</v>
      </c>
      <c r="S17" s="42" t="n">
        <v>0</v>
      </c>
      <c r="T17" s="42" t="n">
        <v>0</v>
      </c>
      <c r="U17" s="42" t="n">
        <v>0</v>
      </c>
      <c r="V17" s="42" t="n">
        <v>0</v>
      </c>
      <c r="W17" s="42" t="n">
        <v>0</v>
      </c>
      <c r="X17" s="42" t="n">
        <v>0</v>
      </c>
      <c r="Y17" s="42" t="n">
        <v>0</v>
      </c>
      <c r="Z17" s="42" t="n">
        <v>0</v>
      </c>
    </row>
    <row r="18" ht="18" customHeight="1">
      <c r="A18" s="36" t="inlineStr">
        <is>
          <t>3.0</t>
        </is>
      </c>
      <c r="B18" s="37" t="inlineStr">
        <is>
          <t>Sistema de diseno de XPedia (UI kit)</t>
        </is>
      </c>
      <c r="C18" s="38" t="n"/>
      <c r="D18" s="38" t="n"/>
      <c r="E18" s="38" t="n"/>
      <c r="F18" s="38" t="n"/>
      <c r="G18" s="38" t="n"/>
      <c r="H18" s="38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 ht="16" customHeight="1">
      <c r="A19" s="19" t="inlineStr">
        <is>
          <t>3.1</t>
        </is>
      </c>
      <c r="B19" s="20" t="inlineStr">
        <is>
          <t>Paleta en tonos claros, tipografia y reglas de texto</t>
        </is>
      </c>
      <c r="C19" s="40" t="n"/>
      <c r="D19" s="40" t="n"/>
      <c r="E19" s="19" t="inlineStr">
        <is>
          <t>Diseno</t>
        </is>
      </c>
      <c r="F19" s="19" t="inlineStr">
        <is>
          <t>Dev 4</t>
        </is>
      </c>
      <c r="G19" s="19" t="inlineStr">
        <is>
          <t>Pendiente</t>
        </is>
      </c>
      <c r="H19" s="19" t="n">
        <v>5</v>
      </c>
      <c r="I19" s="41" t="n">
        <v>3</v>
      </c>
      <c r="J19" s="41" t="n">
        <v>1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</row>
    <row r="20" ht="16" customHeight="1">
      <c r="A20" s="19" t="inlineStr">
        <is>
          <t>3.2</t>
        </is>
      </c>
      <c r="B20" s="20" t="inlineStr">
        <is>
          <t>Componentes: pastillas de stats, botones y panel de ayuda</t>
        </is>
      </c>
      <c r="C20" s="40" t="n"/>
      <c r="D20" s="40" t="n"/>
      <c r="E20" s="19" t="inlineStr">
        <is>
          <t>Diseno</t>
        </is>
      </c>
      <c r="F20" s="19" t="inlineStr">
        <is>
          <t>Dev 4</t>
        </is>
      </c>
      <c r="G20" s="19" t="inlineStr">
        <is>
          <t>Pendiente</t>
        </is>
      </c>
      <c r="H20" s="19" t="n">
        <v>7</v>
      </c>
      <c r="I20" s="41" t="n">
        <v>7</v>
      </c>
      <c r="J20" s="41" t="n">
        <v>7</v>
      </c>
      <c r="K20" s="41" t="n">
        <v>4</v>
      </c>
      <c r="L20" s="41" t="n">
        <v>1</v>
      </c>
      <c r="M20" s="42" t="n">
        <v>0</v>
      </c>
      <c r="N20" s="42" t="n">
        <v>0</v>
      </c>
      <c r="O20" s="42" t="n">
        <v>0</v>
      </c>
      <c r="P20" s="42" t="n">
        <v>0</v>
      </c>
      <c r="Q20" s="42" t="n">
        <v>0</v>
      </c>
      <c r="R20" s="42" t="n">
        <v>0</v>
      </c>
      <c r="S20" s="42" t="n">
        <v>0</v>
      </c>
      <c r="T20" s="42" t="n">
        <v>0</v>
      </c>
      <c r="U20" s="42" t="n">
        <v>0</v>
      </c>
      <c r="V20" s="42" t="n">
        <v>0</v>
      </c>
      <c r="W20" s="42" t="n">
        <v>0</v>
      </c>
      <c r="X20" s="42" t="n">
        <v>0</v>
      </c>
      <c r="Y20" s="42" t="n">
        <v>0</v>
      </c>
      <c r="Z20" s="42" t="n">
        <v>0</v>
      </c>
    </row>
    <row r="21" ht="16" customHeight="1">
      <c r="A21" s="19" t="inlineStr">
        <is>
          <t>3.3</t>
        </is>
      </c>
      <c r="B21" s="20" t="inlineStr">
        <is>
          <t>Documentar el UI kit para que lo consuman todos los mocks</t>
        </is>
      </c>
      <c r="C21" s="40" t="n"/>
      <c r="D21" s="40" t="n"/>
      <c r="E21" s="19" t="inlineStr">
        <is>
          <t>Documentacion</t>
        </is>
      </c>
      <c r="F21" s="19" t="inlineStr">
        <is>
          <t>Dev 4</t>
        </is>
      </c>
      <c r="G21" s="19" t="inlineStr">
        <is>
          <t>Pendiente</t>
        </is>
      </c>
      <c r="H21" s="19" t="n">
        <v>4</v>
      </c>
      <c r="I21" s="41" t="n">
        <v>4</v>
      </c>
      <c r="J21" s="41" t="n">
        <v>4</v>
      </c>
      <c r="K21" s="41" t="n">
        <v>4</v>
      </c>
      <c r="L21" s="41" t="n">
        <v>4</v>
      </c>
      <c r="M21" s="41" t="n">
        <v>4</v>
      </c>
      <c r="N21" s="41" t="n">
        <v>3</v>
      </c>
      <c r="O21" s="41" t="n">
        <v>2</v>
      </c>
      <c r="P21" s="42" t="n">
        <v>0</v>
      </c>
      <c r="Q21" s="42" t="n">
        <v>0</v>
      </c>
      <c r="R21" s="42" t="n">
        <v>0</v>
      </c>
      <c r="S21" s="42" t="n">
        <v>0</v>
      </c>
      <c r="T21" s="42" t="n">
        <v>0</v>
      </c>
      <c r="U21" s="42" t="n">
        <v>0</v>
      </c>
      <c r="V21" s="42" t="n">
        <v>0</v>
      </c>
      <c r="W21" s="42" t="n">
        <v>0</v>
      </c>
      <c r="X21" s="42" t="n">
        <v>0</v>
      </c>
      <c r="Y21" s="42" t="n">
        <v>0</v>
      </c>
      <c r="Z21" s="42" t="n">
        <v>0</v>
      </c>
    </row>
    <row r="22" ht="18" customHeight="1">
      <c r="A22" s="36" t="inlineStr">
        <is>
          <t>4.0</t>
        </is>
      </c>
      <c r="B22" s="37" t="inlineStr">
        <is>
          <t>Mock del HUD del turno (Turno de trabajo)</t>
        </is>
      </c>
      <c r="C22" s="38" t="n"/>
      <c r="D22" s="38" t="n"/>
      <c r="E22" s="38" t="n"/>
      <c r="F22" s="38" t="n"/>
      <c r="G22" s="38" t="n"/>
      <c r="H22" s="38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 ht="16" customHeight="1">
      <c r="A23" s="19" t="inlineStr">
        <is>
          <t>4.1</t>
        </is>
      </c>
      <c r="B23" s="20" t="inlineStr">
        <is>
          <t>Maquetar el mapa de la sucursal con estaciones senalizadas</t>
        </is>
      </c>
      <c r="C23" s="40" t="n"/>
      <c r="D23" s="40" t="n"/>
      <c r="E23" s="19" t="inlineStr">
        <is>
          <t>Desarrollo</t>
        </is>
      </c>
      <c r="F23" s="19" t="inlineStr">
        <is>
          <t>Dev 1</t>
        </is>
      </c>
      <c r="G23" s="19" t="inlineStr">
        <is>
          <t>Pendiente</t>
        </is>
      </c>
      <c r="H23" s="19" t="n">
        <v>7</v>
      </c>
      <c r="I23" s="41" t="n">
        <v>5</v>
      </c>
      <c r="J23" s="41" t="n">
        <v>3</v>
      </c>
      <c r="K23" s="42" t="n">
        <v>0</v>
      </c>
      <c r="L23" s="42" t="n">
        <v>0</v>
      </c>
      <c r="M23" s="42" t="n">
        <v>0</v>
      </c>
      <c r="N23" s="42" t="n">
        <v>0</v>
      </c>
      <c r="O23" s="42" t="n">
        <v>0</v>
      </c>
      <c r="P23" s="42" t="n">
        <v>0</v>
      </c>
      <c r="Q23" s="42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  <c r="W23" s="42" t="n">
        <v>0</v>
      </c>
      <c r="X23" s="42" t="n">
        <v>0</v>
      </c>
      <c r="Y23" s="42" t="n">
        <v>0</v>
      </c>
      <c r="Z23" s="42" t="n">
        <v>0</v>
      </c>
    </row>
    <row r="24" ht="16" customHeight="1">
      <c r="A24" s="19" t="inlineStr">
        <is>
          <t>4.2</t>
        </is>
      </c>
      <c r="B24" s="20" t="inlineStr">
        <is>
          <t>Maquetar el HUD: cola de clientes, reloj del turno y medidores</t>
        </is>
      </c>
      <c r="C24" s="40" t="n"/>
      <c r="D24" s="40" t="n"/>
      <c r="E24" s="19" t="inlineStr">
        <is>
          <t>Desarrollo</t>
        </is>
      </c>
      <c r="F24" s="19" t="inlineStr">
        <is>
          <t>Dev 1</t>
        </is>
      </c>
      <c r="G24" s="19" t="inlineStr">
        <is>
          <t>Pendiente</t>
        </is>
      </c>
      <c r="H24" s="19" t="n">
        <v>7</v>
      </c>
      <c r="I24" s="41" t="n">
        <v>7</v>
      </c>
      <c r="J24" s="41" t="n">
        <v>7</v>
      </c>
      <c r="K24" s="41" t="n">
        <v>6</v>
      </c>
      <c r="L24" s="41" t="n">
        <v>3</v>
      </c>
      <c r="M24" s="41" t="n">
        <v>2</v>
      </c>
      <c r="N24" s="41" t="n">
        <v>1</v>
      </c>
      <c r="O24" s="42" t="n">
        <v>0</v>
      </c>
      <c r="P24" s="42" t="n">
        <v>0</v>
      </c>
      <c r="Q24" s="42" t="n">
        <v>0</v>
      </c>
      <c r="R24" s="42" t="n">
        <v>0</v>
      </c>
      <c r="S24" s="42" t="n">
        <v>0</v>
      </c>
      <c r="T24" s="42" t="n">
        <v>0</v>
      </c>
      <c r="U24" s="42" t="n">
        <v>0</v>
      </c>
      <c r="V24" s="42" t="n">
        <v>0</v>
      </c>
      <c r="W24" s="42" t="n">
        <v>0</v>
      </c>
      <c r="X24" s="42" t="n">
        <v>0</v>
      </c>
      <c r="Y24" s="42" t="n">
        <v>0</v>
      </c>
      <c r="Z24" s="42" t="n">
        <v>0</v>
      </c>
    </row>
    <row r="25" ht="16" customHeight="1">
      <c r="A25" s="19" t="inlineStr">
        <is>
          <t>4.3</t>
        </is>
      </c>
      <c r="B25" s="20" t="inlineStr">
        <is>
          <t>Maquetar las pastillas de stats y el panel de ayuda integrado</t>
        </is>
      </c>
      <c r="C25" s="40" t="n"/>
      <c r="D25" s="40" t="n"/>
      <c r="E25" s="19" t="inlineStr">
        <is>
          <t>Desarrollo</t>
        </is>
      </c>
      <c r="F25" s="19" t="inlineStr">
        <is>
          <t>Dev 2</t>
        </is>
      </c>
      <c r="G25" s="19" t="inlineStr">
        <is>
          <t>Pendiente</t>
        </is>
      </c>
      <c r="H25" s="19" t="n">
        <v>4</v>
      </c>
      <c r="I25" s="41" t="n">
        <v>2</v>
      </c>
      <c r="J25" s="42" t="n">
        <v>0</v>
      </c>
      <c r="K25" s="42" t="n">
        <v>0</v>
      </c>
      <c r="L25" s="42" t="n">
        <v>0</v>
      </c>
      <c r="M25" s="42" t="n">
        <v>0</v>
      </c>
      <c r="N25" s="42" t="n">
        <v>0</v>
      </c>
      <c r="O25" s="42" t="n">
        <v>0</v>
      </c>
      <c r="P25" s="42" t="n">
        <v>0</v>
      </c>
      <c r="Q25" s="42" t="n">
        <v>0</v>
      </c>
      <c r="R25" s="42" t="n">
        <v>0</v>
      </c>
      <c r="S25" s="42" t="n">
        <v>0</v>
      </c>
      <c r="T25" s="42" t="n">
        <v>0</v>
      </c>
      <c r="U25" s="42" t="n">
        <v>0</v>
      </c>
      <c r="V25" s="42" t="n">
        <v>0</v>
      </c>
      <c r="W25" s="42" t="n">
        <v>0</v>
      </c>
      <c r="X25" s="42" t="n">
        <v>0</v>
      </c>
      <c r="Y25" s="42" t="n">
        <v>0</v>
      </c>
      <c r="Z25" s="42" t="n">
        <v>0</v>
      </c>
    </row>
    <row r="26" ht="16" customHeight="1">
      <c r="A26" s="19" t="inlineStr">
        <is>
          <t>4.4</t>
        </is>
      </c>
      <c r="B26" s="20" t="inlineStr">
        <is>
          <t>Revisar el HUD contra las decisiones de UX de la seccion 4.8</t>
        </is>
      </c>
      <c r="C26" s="40" t="n"/>
      <c r="D26" s="40" t="n"/>
      <c r="E26" s="19" t="inlineStr">
        <is>
          <t>Testing</t>
        </is>
      </c>
      <c r="F26" s="19" t="inlineStr">
        <is>
          <t>Dev 4</t>
        </is>
      </c>
      <c r="G26" s="19" t="inlineStr">
        <is>
          <t>Pendiente</t>
        </is>
      </c>
      <c r="H26" s="19" t="n">
        <v>2</v>
      </c>
      <c r="I26" s="41" t="n">
        <v>2</v>
      </c>
      <c r="J26" s="41" t="n">
        <v>2</v>
      </c>
      <c r="K26" s="41" t="n">
        <v>2</v>
      </c>
      <c r="L26" s="41" t="n">
        <v>2</v>
      </c>
      <c r="M26" s="41" t="n">
        <v>2</v>
      </c>
      <c r="N26" s="41" t="n">
        <v>2</v>
      </c>
      <c r="O26" s="41" t="n">
        <v>2</v>
      </c>
      <c r="P26" s="41" t="n">
        <v>2</v>
      </c>
      <c r="Q26" s="42" t="n">
        <v>0</v>
      </c>
      <c r="R26" s="42" t="n">
        <v>0</v>
      </c>
      <c r="S26" s="42" t="n">
        <v>0</v>
      </c>
      <c r="T26" s="42" t="n">
        <v>0</v>
      </c>
      <c r="U26" s="42" t="n">
        <v>0</v>
      </c>
      <c r="V26" s="42" t="n">
        <v>0</v>
      </c>
      <c r="W26" s="42" t="n">
        <v>0</v>
      </c>
      <c r="X26" s="42" t="n">
        <v>0</v>
      </c>
      <c r="Y26" s="42" t="n">
        <v>0</v>
      </c>
      <c r="Z26" s="42" t="n">
        <v>0</v>
      </c>
    </row>
    <row r="27" ht="18" customHeight="1">
      <c r="A27" s="36" t="inlineStr">
        <is>
          <t>5.0</t>
        </is>
      </c>
      <c r="B27" s="37" t="inlineStr">
        <is>
          <t>Mock del evento 'Dialogo con consecuencias' (Turno de trabajo)</t>
        </is>
      </c>
      <c r="C27" s="38" t="n"/>
      <c r="D27" s="38" t="n"/>
      <c r="E27" s="38" t="n"/>
      <c r="F27" s="38" t="n"/>
      <c r="G27" s="38" t="n"/>
      <c r="H27" s="38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 ht="16" customHeight="1">
      <c r="A28" s="19" t="inlineStr">
        <is>
          <t>5.1</t>
        </is>
      </c>
      <c r="B28" s="20" t="inlineStr">
        <is>
          <t>Maquetar el panel de dialogo con la cola visible detras</t>
        </is>
      </c>
      <c r="C28" s="40" t="n"/>
      <c r="D28" s="40" t="n"/>
      <c r="E28" s="19" t="inlineStr">
        <is>
          <t>Desarrollo</t>
        </is>
      </c>
      <c r="F28" s="19" t="inlineStr">
        <is>
          <t>Dev 2</t>
        </is>
      </c>
      <c r="G28" s="19" t="inlineStr">
        <is>
          <t>Pendiente</t>
        </is>
      </c>
      <c r="H28" s="19" t="n">
        <v>7</v>
      </c>
      <c r="I28" s="41" t="n">
        <v>7</v>
      </c>
      <c r="J28" s="41" t="n">
        <v>7</v>
      </c>
      <c r="K28" s="41" t="n">
        <v>3</v>
      </c>
      <c r="L28" s="42" t="n">
        <v>0</v>
      </c>
      <c r="M28" s="42" t="n">
        <v>0</v>
      </c>
      <c r="N28" s="42" t="n">
        <v>0</v>
      </c>
      <c r="O28" s="42" t="n">
        <v>0</v>
      </c>
      <c r="P28" s="42" t="n">
        <v>0</v>
      </c>
      <c r="Q28" s="42" t="n">
        <v>0</v>
      </c>
      <c r="R28" s="42" t="n">
        <v>0</v>
      </c>
      <c r="S28" s="42" t="n">
        <v>0</v>
      </c>
      <c r="T28" s="42" t="n">
        <v>0</v>
      </c>
      <c r="U28" s="42" t="n">
        <v>0</v>
      </c>
      <c r="V28" s="42" t="n">
        <v>0</v>
      </c>
      <c r="W28" s="42" t="n">
        <v>0</v>
      </c>
      <c r="X28" s="42" t="n">
        <v>0</v>
      </c>
      <c r="Y28" s="42" t="n">
        <v>0</v>
      </c>
      <c r="Z28" s="42" t="n">
        <v>0</v>
      </c>
    </row>
    <row r="29" ht="16" customHeight="1">
      <c r="A29" s="19" t="inlineStr">
        <is>
          <t>5.2</t>
        </is>
      </c>
      <c r="B29" s="20" t="inlineStr">
        <is>
          <t>Hardcodear el arbol de 3 niveles con reaccion visible inmediata</t>
        </is>
      </c>
      <c r="C29" s="40" t="n"/>
      <c r="D29" s="40" t="n"/>
      <c r="E29" s="19" t="inlineStr">
        <is>
          <t>Desarrollo</t>
        </is>
      </c>
      <c r="F29" s="19" t="inlineStr">
        <is>
          <t>Dev 2</t>
        </is>
      </c>
      <c r="G29" s="19" t="inlineStr">
        <is>
          <t>Pendiente</t>
        </is>
      </c>
      <c r="H29" s="19" t="n">
        <v>7</v>
      </c>
      <c r="I29" s="41" t="n">
        <v>7</v>
      </c>
      <c r="J29" s="41" t="n">
        <v>7</v>
      </c>
      <c r="K29" s="41" t="n">
        <v>7</v>
      </c>
      <c r="L29" s="41" t="n">
        <v>7</v>
      </c>
      <c r="M29" s="41" t="n">
        <v>6</v>
      </c>
      <c r="N29" s="41" t="n">
        <v>5</v>
      </c>
      <c r="O29" s="41" t="n">
        <v>4</v>
      </c>
      <c r="P29" s="41" t="n">
        <v>2</v>
      </c>
      <c r="Q29" s="42" t="n">
        <v>0</v>
      </c>
      <c r="R29" s="42" t="n">
        <v>0</v>
      </c>
      <c r="S29" s="42" t="n">
        <v>0</v>
      </c>
      <c r="T29" s="42" t="n">
        <v>0</v>
      </c>
      <c r="U29" s="42" t="n">
        <v>0</v>
      </c>
      <c r="V29" s="42" t="n">
        <v>0</v>
      </c>
      <c r="W29" s="42" t="n">
        <v>0</v>
      </c>
      <c r="X29" s="42" t="n">
        <v>0</v>
      </c>
      <c r="Y29" s="42" t="n">
        <v>0</v>
      </c>
      <c r="Z29" s="42" t="n">
        <v>0</v>
      </c>
    </row>
    <row r="30" ht="16" customHeight="1">
      <c r="A30" s="19" t="inlineStr">
        <is>
          <t>5.3</t>
        </is>
      </c>
      <c r="B30" s="20" t="inlineStr">
        <is>
          <t>Maquetar el feedback por rubrica al cerrar el evento</t>
        </is>
      </c>
      <c r="C30" s="40" t="n"/>
      <c r="D30" s="40" t="n"/>
      <c r="E30" s="19" t="inlineStr">
        <is>
          <t>Desarrollo</t>
        </is>
      </c>
      <c r="F30" s="19" t="inlineStr">
        <is>
          <t>Dev 2</t>
        </is>
      </c>
      <c r="G30" s="19" t="inlineStr">
        <is>
          <t>Pendiente</t>
        </is>
      </c>
      <c r="H30" s="19" t="n">
        <v>4</v>
      </c>
      <c r="I30" s="41" t="n">
        <v>4</v>
      </c>
      <c r="J30" s="41" t="n">
        <v>4</v>
      </c>
      <c r="K30" s="41" t="n">
        <v>4</v>
      </c>
      <c r="L30" s="41" t="n">
        <v>4</v>
      </c>
      <c r="M30" s="41" t="n">
        <v>4</v>
      </c>
      <c r="N30" s="41" t="n">
        <v>4</v>
      </c>
      <c r="O30" s="41" t="n">
        <v>4</v>
      </c>
      <c r="P30" s="41" t="n">
        <v>4</v>
      </c>
      <c r="Q30" s="41" t="n">
        <v>4</v>
      </c>
      <c r="R30" s="42" t="n">
        <v>0</v>
      </c>
      <c r="S30" s="42" t="n">
        <v>0</v>
      </c>
      <c r="T30" s="42" t="n">
        <v>0</v>
      </c>
      <c r="U30" s="42" t="n">
        <v>0</v>
      </c>
      <c r="V30" s="42" t="n">
        <v>0</v>
      </c>
      <c r="W30" s="42" t="n">
        <v>0</v>
      </c>
      <c r="X30" s="42" t="n">
        <v>0</v>
      </c>
      <c r="Y30" s="42" t="n">
        <v>0</v>
      </c>
      <c r="Z30" s="42" t="n">
        <v>0</v>
      </c>
    </row>
    <row r="31" ht="18" customHeight="1">
      <c r="A31" s="36" t="inlineStr">
        <is>
          <t>6.0</t>
        </is>
      </c>
      <c r="B31" s="37" t="inlineStr">
        <is>
          <t>Mock del evento 'Auditoria' (Turno de trabajo)</t>
        </is>
      </c>
      <c r="C31" s="38" t="n"/>
      <c r="D31" s="38" t="n"/>
      <c r="E31" s="38" t="n"/>
      <c r="F31" s="38" t="n"/>
      <c r="G31" s="38" t="n"/>
      <c r="H31" s="38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 ht="16" customHeight="1">
      <c r="A32" s="19" t="inlineStr">
        <is>
          <t>6.1</t>
        </is>
      </c>
      <c r="B32" s="20" t="inlineStr">
        <is>
          <t>Maquetar la escena con hallazgos senalables al pasar</t>
        </is>
      </c>
      <c r="C32" s="40" t="n"/>
      <c r="D32" s="40" t="n"/>
      <c r="E32" s="19" t="inlineStr">
        <is>
          <t>Desarrollo</t>
        </is>
      </c>
      <c r="F32" s="19" t="inlineStr">
        <is>
          <t>Dev 3</t>
        </is>
      </c>
      <c r="G32" s="19" t="inlineStr">
        <is>
          <t>Pendiente</t>
        </is>
      </c>
      <c r="H32" s="19" t="n">
        <v>7</v>
      </c>
      <c r="I32" s="41" t="n">
        <v>7</v>
      </c>
      <c r="J32" s="41" t="n">
        <v>7</v>
      </c>
      <c r="K32" s="41" t="n">
        <v>7</v>
      </c>
      <c r="L32" s="41" t="n">
        <v>7</v>
      </c>
      <c r="M32" s="41" t="n">
        <v>7</v>
      </c>
      <c r="N32" s="41" t="n">
        <v>7</v>
      </c>
      <c r="O32" s="41" t="n">
        <v>7</v>
      </c>
      <c r="P32" s="41" t="n">
        <v>5</v>
      </c>
      <c r="Q32" s="41" t="n">
        <v>3</v>
      </c>
      <c r="R32" s="42" t="n">
        <v>0</v>
      </c>
      <c r="S32" s="42" t="n">
        <v>0</v>
      </c>
      <c r="T32" s="42" t="n">
        <v>0</v>
      </c>
      <c r="U32" s="42" t="n">
        <v>0</v>
      </c>
      <c r="V32" s="42" t="n">
        <v>0</v>
      </c>
      <c r="W32" s="42" t="n">
        <v>0</v>
      </c>
      <c r="X32" s="42" t="n">
        <v>0</v>
      </c>
      <c r="Y32" s="42" t="n">
        <v>0</v>
      </c>
      <c r="Z32" s="42" t="n">
        <v>0</v>
      </c>
    </row>
    <row r="33" ht="16" customHeight="1">
      <c r="A33" s="19" t="inlineStr">
        <is>
          <t>6.2</t>
        </is>
      </c>
      <c r="B33" s="20" t="inlineStr">
        <is>
          <t>Hardcodear la decision paro/sigo y su costo visible en la cola</t>
        </is>
      </c>
      <c r="C33" s="40" t="n"/>
      <c r="D33" s="40" t="n"/>
      <c r="E33" s="19" t="inlineStr">
        <is>
          <t>Desarrollo</t>
        </is>
      </c>
      <c r="F33" s="19" t="inlineStr">
        <is>
          <t>Dev 3</t>
        </is>
      </c>
      <c r="G33" s="19" t="inlineStr">
        <is>
          <t>Pendiente</t>
        </is>
      </c>
      <c r="H33" s="19" t="n">
        <v>7</v>
      </c>
      <c r="I33" s="41" t="n">
        <v>7</v>
      </c>
      <c r="J33" s="41" t="n">
        <v>7</v>
      </c>
      <c r="K33" s="41" t="n">
        <v>7</v>
      </c>
      <c r="L33" s="41" t="n">
        <v>7</v>
      </c>
      <c r="M33" s="41" t="n">
        <v>7</v>
      </c>
      <c r="N33" s="41" t="n">
        <v>7</v>
      </c>
      <c r="O33" s="41" t="n">
        <v>7</v>
      </c>
      <c r="P33" s="41" t="n">
        <v>7</v>
      </c>
      <c r="Q33" s="41" t="n">
        <v>7</v>
      </c>
      <c r="R33" s="41" t="n">
        <v>6</v>
      </c>
      <c r="S33" s="41" t="n">
        <v>3</v>
      </c>
      <c r="T33" s="41" t="n">
        <v>2</v>
      </c>
      <c r="U33" s="41" t="n">
        <v>1</v>
      </c>
      <c r="V33" s="42" t="n">
        <v>0</v>
      </c>
      <c r="W33" s="42" t="n">
        <v>0</v>
      </c>
      <c r="X33" s="42" t="n">
        <v>0</v>
      </c>
      <c r="Y33" s="42" t="n">
        <v>0</v>
      </c>
      <c r="Z33" s="42" t="n">
        <v>0</v>
      </c>
    </row>
    <row r="34" ht="18" customHeight="1">
      <c r="A34" s="36" t="inlineStr">
        <is>
          <t>7.0</t>
        </is>
      </c>
      <c r="B34" s="37" t="inlineStr">
        <is>
          <t>Mock del evento 'Ronda / procedimiento' (Turno de trabajo)</t>
        </is>
      </c>
      <c r="C34" s="38" t="n"/>
      <c r="D34" s="38" t="n"/>
      <c r="E34" s="38" t="n"/>
      <c r="F34" s="38" t="n"/>
      <c r="G34" s="38" t="n"/>
      <c r="H34" s="38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 ht="16" customHeight="1">
      <c r="A35" s="19" t="inlineStr">
        <is>
          <t>7.1</t>
        </is>
      </c>
      <c r="B35" s="20" t="inlineStr">
        <is>
          <t>Maquetar el checklist de pasos con duracion real por paso</t>
        </is>
      </c>
      <c r="C35" s="40" t="n"/>
      <c r="D35" s="40" t="n"/>
      <c r="E35" s="19" t="inlineStr">
        <is>
          <t>Desarrollo</t>
        </is>
      </c>
      <c r="F35" s="19" t="inlineStr">
        <is>
          <t>Dev 1</t>
        </is>
      </c>
      <c r="G35" s="19" t="inlineStr">
        <is>
          <t>Pendiente</t>
        </is>
      </c>
      <c r="H35" s="19" t="n">
        <v>7</v>
      </c>
      <c r="I35" s="41" t="n">
        <v>7</v>
      </c>
      <c r="J35" s="41" t="n">
        <v>7</v>
      </c>
      <c r="K35" s="41" t="n">
        <v>7</v>
      </c>
      <c r="L35" s="41" t="n">
        <v>7</v>
      </c>
      <c r="M35" s="41" t="n">
        <v>7</v>
      </c>
      <c r="N35" s="41" t="n">
        <v>7</v>
      </c>
      <c r="O35" s="41" t="n">
        <v>7</v>
      </c>
      <c r="P35" s="41" t="n">
        <v>5</v>
      </c>
      <c r="Q35" s="41" t="n">
        <v>3</v>
      </c>
      <c r="R35" s="42" t="n">
        <v>0</v>
      </c>
      <c r="S35" s="42" t="n">
        <v>0</v>
      </c>
      <c r="T35" s="42" t="n">
        <v>0</v>
      </c>
      <c r="U35" s="42" t="n">
        <v>0</v>
      </c>
      <c r="V35" s="42" t="n">
        <v>0</v>
      </c>
      <c r="W35" s="42" t="n">
        <v>0</v>
      </c>
      <c r="X35" s="42" t="n">
        <v>0</v>
      </c>
      <c r="Y35" s="42" t="n">
        <v>0</v>
      </c>
      <c r="Z35" s="42" t="n">
        <v>0</v>
      </c>
    </row>
    <row r="36" ht="16" customHeight="1">
      <c r="A36" s="19" t="inlineStr">
        <is>
          <t>7.2</t>
        </is>
      </c>
      <c r="B36" s="20" t="inlineStr">
        <is>
          <t>Hardcodear el paso salteado y su consecuencia diferida</t>
        </is>
      </c>
      <c r="C36" s="40" t="n"/>
      <c r="D36" s="40" t="n"/>
      <c r="E36" s="19" t="inlineStr">
        <is>
          <t>Desarrollo</t>
        </is>
      </c>
      <c r="F36" s="19" t="inlineStr">
        <is>
          <t>Dev 1</t>
        </is>
      </c>
      <c r="G36" s="19" t="inlineStr">
        <is>
          <t>Pendiente</t>
        </is>
      </c>
      <c r="H36" s="19" t="n">
        <v>7</v>
      </c>
      <c r="I36" s="41" t="n">
        <v>7</v>
      </c>
      <c r="J36" s="41" t="n">
        <v>7</v>
      </c>
      <c r="K36" s="41" t="n">
        <v>7</v>
      </c>
      <c r="L36" s="41" t="n">
        <v>7</v>
      </c>
      <c r="M36" s="41" t="n">
        <v>7</v>
      </c>
      <c r="N36" s="41" t="n">
        <v>7</v>
      </c>
      <c r="O36" s="41" t="n">
        <v>7</v>
      </c>
      <c r="P36" s="41" t="n">
        <v>7</v>
      </c>
      <c r="Q36" s="41" t="n">
        <v>7</v>
      </c>
      <c r="R36" s="41" t="n">
        <v>6</v>
      </c>
      <c r="S36" s="41" t="n">
        <v>3</v>
      </c>
      <c r="T36" s="41" t="n">
        <v>2</v>
      </c>
      <c r="U36" s="41" t="n">
        <v>1</v>
      </c>
      <c r="V36" s="42" t="n">
        <v>0</v>
      </c>
      <c r="W36" s="42" t="n">
        <v>0</v>
      </c>
      <c r="X36" s="42" t="n">
        <v>0</v>
      </c>
      <c r="Y36" s="42" t="n">
        <v>0</v>
      </c>
      <c r="Z36" s="42" t="n">
        <v>0</v>
      </c>
    </row>
    <row r="37" ht="18" customHeight="1">
      <c r="A37" s="36" t="inlineStr">
        <is>
          <t>8.0</t>
        </is>
      </c>
      <c r="B37" s="37" t="inlineStr">
        <is>
          <t>Mock del evento 'Crisis' (Turno de trabajo)</t>
        </is>
      </c>
      <c r="C37" s="38" t="n"/>
      <c r="D37" s="38" t="n"/>
      <c r="E37" s="38" t="n"/>
      <c r="F37" s="38" t="n"/>
      <c r="G37" s="38" t="n"/>
      <c r="H37" s="38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 ht="16" customHeight="1">
      <c r="A38" s="19" t="inlineStr">
        <is>
          <t>8.1</t>
        </is>
      </c>
      <c r="B38" s="20" t="inlineStr">
        <is>
          <t>Maquetar la caida de sistema con timer y cola creciendo</t>
        </is>
      </c>
      <c r="C38" s="40" t="n"/>
      <c r="D38" s="40" t="n"/>
      <c r="E38" s="19" t="inlineStr">
        <is>
          <t>Desarrollo</t>
        </is>
      </c>
      <c r="F38" s="19" t="inlineStr">
        <is>
          <t>Dev 5</t>
        </is>
      </c>
      <c r="G38" s="19" t="inlineStr">
        <is>
          <t>Pendiente</t>
        </is>
      </c>
      <c r="H38" s="19" t="n">
        <v>7</v>
      </c>
      <c r="I38" s="41" t="n">
        <v>5</v>
      </c>
      <c r="J38" s="41" t="n">
        <v>3</v>
      </c>
      <c r="K38" s="42" t="n">
        <v>0</v>
      </c>
      <c r="L38" s="42" t="n">
        <v>0</v>
      </c>
      <c r="M38" s="42" t="n">
        <v>0</v>
      </c>
      <c r="N38" s="42" t="n">
        <v>0</v>
      </c>
      <c r="O38" s="42" t="n">
        <v>0</v>
      </c>
      <c r="P38" s="42" t="n">
        <v>0</v>
      </c>
      <c r="Q38" s="42" t="n">
        <v>0</v>
      </c>
      <c r="R38" s="42" t="n">
        <v>0</v>
      </c>
      <c r="S38" s="42" t="n">
        <v>0</v>
      </c>
      <c r="T38" s="42" t="n">
        <v>0</v>
      </c>
      <c r="U38" s="42" t="n">
        <v>0</v>
      </c>
      <c r="V38" s="42" t="n">
        <v>0</v>
      </c>
      <c r="W38" s="42" t="n">
        <v>0</v>
      </c>
      <c r="X38" s="42" t="n">
        <v>0</v>
      </c>
      <c r="Y38" s="42" t="n">
        <v>0</v>
      </c>
      <c r="Z38" s="42" t="n">
        <v>0</v>
      </c>
    </row>
    <row r="39" ht="16" customHeight="1">
      <c r="A39" s="19" t="inlineStr">
        <is>
          <t>8.2</t>
        </is>
      </c>
      <c r="B39" s="20" t="inlineStr">
        <is>
          <t>Hardcodear las 3 decisiones de coordinacion</t>
        </is>
      </c>
      <c r="C39" s="40" t="n"/>
      <c r="D39" s="40" t="n"/>
      <c r="E39" s="19" t="inlineStr">
        <is>
          <t>Desarrollo</t>
        </is>
      </c>
      <c r="F39" s="19" t="inlineStr">
        <is>
          <t>Dev 5</t>
        </is>
      </c>
      <c r="G39" s="19" t="inlineStr">
        <is>
          <t>Pendiente</t>
        </is>
      </c>
      <c r="H39" s="19" t="n">
        <v>5</v>
      </c>
      <c r="I39" s="41" t="n">
        <v>5</v>
      </c>
      <c r="J39" s="41" t="n">
        <v>5</v>
      </c>
      <c r="K39" s="41" t="n">
        <v>4</v>
      </c>
      <c r="L39" s="41" t="n">
        <v>1</v>
      </c>
      <c r="M39" s="42" t="n">
        <v>0</v>
      </c>
      <c r="N39" s="42" t="n">
        <v>0</v>
      </c>
      <c r="O39" s="42" t="n">
        <v>0</v>
      </c>
      <c r="P39" s="42" t="n">
        <v>0</v>
      </c>
      <c r="Q39" s="42" t="n">
        <v>0</v>
      </c>
      <c r="R39" s="42" t="n">
        <v>0</v>
      </c>
      <c r="S39" s="42" t="n">
        <v>0</v>
      </c>
      <c r="T39" s="42" t="n">
        <v>0</v>
      </c>
      <c r="U39" s="42" t="n">
        <v>0</v>
      </c>
      <c r="V39" s="42" t="n">
        <v>0</v>
      </c>
      <c r="W39" s="42" t="n">
        <v>0</v>
      </c>
      <c r="X39" s="42" t="n">
        <v>0</v>
      </c>
      <c r="Y39" s="42" t="n">
        <v>0</v>
      </c>
      <c r="Z39" s="42" t="n">
        <v>0</v>
      </c>
    </row>
    <row r="40" ht="18" customHeight="1">
      <c r="A40" s="36" t="inlineStr">
        <is>
          <t>9.0</t>
        </is>
      </c>
      <c r="B40" s="37" t="inlineStr">
        <is>
          <t>Mock del cierre de turno: score, record y atajos (Turno de trabajo)</t>
        </is>
      </c>
      <c r="C40" s="38" t="n"/>
      <c r="D40" s="38" t="n"/>
      <c r="E40" s="38" t="n"/>
      <c r="F40" s="38" t="n"/>
      <c r="G40" s="38" t="n"/>
      <c r="H40" s="38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 ht="16" customHeight="1">
      <c r="A41" s="19" t="inlineStr">
        <is>
          <t>9.1</t>
        </is>
      </c>
      <c r="B41" s="20" t="inlineStr">
        <is>
          <t>Maquetar la pantalla de cierre con score y record personal</t>
        </is>
      </c>
      <c r="C41" s="40" t="n"/>
      <c r="D41" s="40" t="n"/>
      <c r="E41" s="19" t="inlineStr">
        <is>
          <t>Desarrollo</t>
        </is>
      </c>
      <c r="F41" s="19" t="inlineStr">
        <is>
          <t>Dev 2</t>
        </is>
      </c>
      <c r="G41" s="19" t="inlineStr">
        <is>
          <t>Pendiente</t>
        </is>
      </c>
      <c r="H41" s="19" t="n">
        <v>6</v>
      </c>
      <c r="I41" s="41" t="n">
        <v>6</v>
      </c>
      <c r="J41" s="41" t="n">
        <v>6</v>
      </c>
      <c r="K41" s="41" t="n">
        <v>6</v>
      </c>
      <c r="L41" s="41" t="n">
        <v>6</v>
      </c>
      <c r="M41" s="41" t="n">
        <v>6</v>
      </c>
      <c r="N41" s="41" t="n">
        <v>6</v>
      </c>
      <c r="O41" s="41" t="n">
        <v>6</v>
      </c>
      <c r="P41" s="41" t="n">
        <v>6</v>
      </c>
      <c r="Q41" s="41" t="n">
        <v>6</v>
      </c>
      <c r="R41" s="41" t="n">
        <v>6</v>
      </c>
      <c r="S41" s="41" t="n">
        <v>3</v>
      </c>
      <c r="T41" s="41" t="n">
        <v>2</v>
      </c>
      <c r="U41" s="41" t="n">
        <v>1</v>
      </c>
      <c r="V41" s="42" t="n">
        <v>0</v>
      </c>
      <c r="W41" s="42" t="n">
        <v>0</v>
      </c>
      <c r="X41" s="42" t="n">
        <v>0</v>
      </c>
      <c r="Y41" s="42" t="n">
        <v>0</v>
      </c>
      <c r="Z41" s="42" t="n">
        <v>0</v>
      </c>
    </row>
    <row r="42" ht="16" customHeight="1">
      <c r="A42" s="19" t="inlineStr">
        <is>
          <t>9.2</t>
        </is>
      </c>
      <c r="B42" s="20" t="inlineStr">
        <is>
          <t>Maquetar el detalle de atajos tomados y su costo en segundos</t>
        </is>
      </c>
      <c r="C42" s="40" t="n"/>
      <c r="D42" s="40" t="n"/>
      <c r="E42" s="19" t="inlineStr">
        <is>
          <t>Desarrollo</t>
        </is>
      </c>
      <c r="F42" s="19" t="inlineStr">
        <is>
          <t>Dev 6</t>
        </is>
      </c>
      <c r="G42" s="19" t="inlineStr">
        <is>
          <t>Pendiente</t>
        </is>
      </c>
      <c r="H42" s="19" t="n">
        <v>6</v>
      </c>
      <c r="I42" s="41" t="n">
        <v>4</v>
      </c>
      <c r="J42" s="41" t="n">
        <v>2</v>
      </c>
      <c r="K42" s="42" t="n">
        <v>0</v>
      </c>
      <c r="L42" s="42" t="n">
        <v>0</v>
      </c>
      <c r="M42" s="42" t="n">
        <v>0</v>
      </c>
      <c r="N42" s="42" t="n">
        <v>0</v>
      </c>
      <c r="O42" s="42" t="n">
        <v>0</v>
      </c>
      <c r="P42" s="42" t="n">
        <v>0</v>
      </c>
      <c r="Q42" s="42" t="n">
        <v>0</v>
      </c>
      <c r="R42" s="42" t="n">
        <v>0</v>
      </c>
      <c r="S42" s="42" t="n">
        <v>0</v>
      </c>
      <c r="T42" s="42" t="n">
        <v>0</v>
      </c>
      <c r="U42" s="42" t="n">
        <v>0</v>
      </c>
      <c r="V42" s="42" t="n">
        <v>0</v>
      </c>
      <c r="W42" s="42" t="n">
        <v>0</v>
      </c>
      <c r="X42" s="42" t="n">
        <v>0</v>
      </c>
      <c r="Y42" s="42" t="n">
        <v>0</v>
      </c>
      <c r="Z42" s="42" t="n">
        <v>0</v>
      </c>
    </row>
    <row r="43" ht="16" customHeight="1">
      <c r="A43" s="19" t="inlineStr">
        <is>
          <t>9.3</t>
        </is>
      </c>
      <c r="B43" s="20" t="inlineStr">
        <is>
          <t>Revisar el cierre contra la tabla de consecuencias del guion</t>
        </is>
      </c>
      <c r="C43" s="40" t="n"/>
      <c r="D43" s="40" t="n"/>
      <c r="E43" s="19" t="inlineStr">
        <is>
          <t>Testing</t>
        </is>
      </c>
      <c r="F43" s="19" t="inlineStr">
        <is>
          <t>Dev 7</t>
        </is>
      </c>
      <c r="G43" s="19" t="inlineStr">
        <is>
          <t>Pendiente</t>
        </is>
      </c>
      <c r="H43" s="19" t="n">
        <v>2</v>
      </c>
      <c r="I43" s="41" t="n">
        <v>2</v>
      </c>
      <c r="J43" s="41" t="n">
        <v>2</v>
      </c>
      <c r="K43" s="41" t="n">
        <v>2</v>
      </c>
      <c r="L43" s="41" t="n">
        <v>2</v>
      </c>
      <c r="M43" s="41" t="n">
        <v>2</v>
      </c>
      <c r="N43" s="41" t="n">
        <v>1</v>
      </c>
      <c r="O43" s="42" t="n">
        <v>0</v>
      </c>
      <c r="P43" s="42" t="n">
        <v>0</v>
      </c>
      <c r="Q43" s="42" t="n">
        <v>0</v>
      </c>
      <c r="R43" s="42" t="n">
        <v>0</v>
      </c>
      <c r="S43" s="42" t="n">
        <v>0</v>
      </c>
      <c r="T43" s="42" t="n">
        <v>0</v>
      </c>
      <c r="U43" s="42" t="n">
        <v>0</v>
      </c>
      <c r="V43" s="42" t="n">
        <v>0</v>
      </c>
      <c r="W43" s="42" t="n">
        <v>0</v>
      </c>
      <c r="X43" s="42" t="n">
        <v>0</v>
      </c>
      <c r="Y43" s="42" t="n">
        <v>0</v>
      </c>
      <c r="Z43" s="42" t="n">
        <v>0</v>
      </c>
    </row>
    <row r="44" ht="18" customHeight="1">
      <c r="A44" s="36" t="inlineStr">
        <is>
          <t>10.0</t>
        </is>
      </c>
      <c r="B44" s="37" t="inlineStr">
        <is>
          <t>Mock del Taller: carga, clasificacion y brief (Taller de misiones)</t>
        </is>
      </c>
      <c r="C44" s="38" t="n"/>
      <c r="D44" s="38" t="n"/>
      <c r="E44" s="38" t="n"/>
      <c r="F44" s="38" t="n"/>
      <c r="G44" s="38" t="n"/>
      <c r="H44" s="38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 ht="16" customHeight="1">
      <c r="A45" s="19" t="inlineStr">
        <is>
          <t>10.1</t>
        </is>
      </c>
      <c r="B45" s="20" t="inlineStr">
        <is>
          <t>Maquetar la carga de documentos con clasificacion doble</t>
        </is>
      </c>
      <c r="C45" s="40" t="n"/>
      <c r="D45" s="40" t="n"/>
      <c r="E45" s="19" t="inlineStr">
        <is>
          <t>Desarrollo</t>
        </is>
      </c>
      <c r="F45" s="19" t="inlineStr">
        <is>
          <t>Dev 5</t>
        </is>
      </c>
      <c r="G45" s="19" t="inlineStr">
        <is>
          <t>Pendiente</t>
        </is>
      </c>
      <c r="H45" s="19" t="n">
        <v>6</v>
      </c>
      <c r="I45" s="41" t="n">
        <v>6</v>
      </c>
      <c r="J45" s="41" t="n">
        <v>6</v>
      </c>
      <c r="K45" s="41" t="n">
        <v>6</v>
      </c>
      <c r="L45" s="41" t="n">
        <v>6</v>
      </c>
      <c r="M45" s="41" t="n">
        <v>6</v>
      </c>
      <c r="N45" s="41" t="n">
        <v>5</v>
      </c>
      <c r="O45" s="41" t="n">
        <v>4</v>
      </c>
      <c r="P45" s="41" t="n">
        <v>2</v>
      </c>
      <c r="Q45" s="42" t="n">
        <v>0</v>
      </c>
      <c r="R45" s="42" t="n">
        <v>0</v>
      </c>
      <c r="S45" s="42" t="n">
        <v>0</v>
      </c>
      <c r="T45" s="42" t="n">
        <v>0</v>
      </c>
      <c r="U45" s="42" t="n">
        <v>0</v>
      </c>
      <c r="V45" s="42" t="n">
        <v>0</v>
      </c>
      <c r="W45" s="42" t="n">
        <v>0</v>
      </c>
      <c r="X45" s="42" t="n">
        <v>0</v>
      </c>
      <c r="Y45" s="42" t="n">
        <v>0</v>
      </c>
      <c r="Z45" s="42" t="n">
        <v>0</v>
      </c>
    </row>
    <row r="46" ht="16" customHeight="1">
      <c r="A46" s="19" t="inlineStr">
        <is>
          <t>10.2</t>
        </is>
      </c>
      <c r="B46" s="20" t="inlineStr">
        <is>
          <t>Maquetar la pantalla de brief del caso</t>
        </is>
      </c>
      <c r="C46" s="40" t="n"/>
      <c r="D46" s="40" t="n"/>
      <c r="E46" s="19" t="inlineStr">
        <is>
          <t>Desarrollo</t>
        </is>
      </c>
      <c r="F46" s="19" t="inlineStr">
        <is>
          <t>Dev 5</t>
        </is>
      </c>
      <c r="G46" s="19" t="inlineStr">
        <is>
          <t>Pendiente</t>
        </is>
      </c>
      <c r="H46" s="19" t="n">
        <v>5</v>
      </c>
      <c r="I46" s="41" t="n">
        <v>5</v>
      </c>
      <c r="J46" s="41" t="n">
        <v>5</v>
      </c>
      <c r="K46" s="41" t="n">
        <v>5</v>
      </c>
      <c r="L46" s="41" t="n">
        <v>5</v>
      </c>
      <c r="M46" s="41" t="n">
        <v>5</v>
      </c>
      <c r="N46" s="41" t="n">
        <v>5</v>
      </c>
      <c r="O46" s="41" t="n">
        <v>5</v>
      </c>
      <c r="P46" s="41" t="n">
        <v>5</v>
      </c>
      <c r="Q46" s="41" t="n">
        <v>5</v>
      </c>
      <c r="R46" s="41" t="n">
        <v>1</v>
      </c>
      <c r="S46" s="42" t="n">
        <v>0</v>
      </c>
      <c r="T46" s="42" t="n">
        <v>0</v>
      </c>
      <c r="U46" s="42" t="n">
        <v>0</v>
      </c>
      <c r="V46" s="42" t="n">
        <v>0</v>
      </c>
      <c r="W46" s="42" t="n">
        <v>0</v>
      </c>
      <c r="X46" s="42" t="n">
        <v>0</v>
      </c>
      <c r="Y46" s="42" t="n">
        <v>0</v>
      </c>
      <c r="Z46" s="42" t="n">
        <v>0</v>
      </c>
    </row>
    <row r="47" ht="16" customHeight="1">
      <c r="A47" s="19" t="inlineStr">
        <is>
          <t>10.3</t>
        </is>
      </c>
      <c r="B47" s="20" t="inlineStr">
        <is>
          <t>Hardcodear el chat con IA que propone la mision</t>
        </is>
      </c>
      <c r="C47" s="40" t="n"/>
      <c r="D47" s="40" t="n"/>
      <c r="E47" s="19" t="inlineStr">
        <is>
          <t>Desarrollo</t>
        </is>
      </c>
      <c r="F47" s="19" t="inlineStr">
        <is>
          <t>Dev 5</t>
        </is>
      </c>
      <c r="G47" s="19" t="inlineStr">
        <is>
          <t>Pendiente</t>
        </is>
      </c>
      <c r="H47" s="19" t="n">
        <v>5</v>
      </c>
      <c r="I47" s="41" t="n">
        <v>5</v>
      </c>
      <c r="J47" s="41" t="n">
        <v>5</v>
      </c>
      <c r="K47" s="41" t="n">
        <v>5</v>
      </c>
      <c r="L47" s="41" t="n">
        <v>5</v>
      </c>
      <c r="M47" s="41" t="n">
        <v>5</v>
      </c>
      <c r="N47" s="41" t="n">
        <v>5</v>
      </c>
      <c r="O47" s="41" t="n">
        <v>5</v>
      </c>
      <c r="P47" s="41" t="n">
        <v>5</v>
      </c>
      <c r="Q47" s="41" t="n">
        <v>5</v>
      </c>
      <c r="R47" s="41" t="n">
        <v>5</v>
      </c>
      <c r="S47" s="41" t="n">
        <v>3</v>
      </c>
      <c r="T47" s="41" t="n">
        <v>2</v>
      </c>
      <c r="U47" s="41" t="n">
        <v>1</v>
      </c>
      <c r="V47" s="42" t="n">
        <v>0</v>
      </c>
      <c r="W47" s="42" t="n">
        <v>0</v>
      </c>
      <c r="X47" s="42" t="n">
        <v>0</v>
      </c>
      <c r="Y47" s="42" t="n">
        <v>0</v>
      </c>
      <c r="Z47" s="42" t="n">
        <v>0</v>
      </c>
    </row>
    <row r="48" ht="18" customHeight="1">
      <c r="A48" s="36" t="inlineStr">
        <is>
          <t>11.0</t>
        </is>
      </c>
      <c r="B48" s="37" t="inlineStr">
        <is>
          <t>Mock del editor de mision de turno + estados (Taller de misiones)</t>
        </is>
      </c>
      <c r="C48" s="38" t="n"/>
      <c r="D48" s="38" t="n"/>
      <c r="E48" s="38" t="n"/>
      <c r="F48" s="38" t="n"/>
      <c r="G48" s="38" t="n"/>
      <c r="H48" s="38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 ht="16" customHeight="1">
      <c r="A49" s="19" t="inlineStr">
        <is>
          <t>11.1</t>
        </is>
      </c>
      <c r="B49" s="20" t="inlineStr">
        <is>
          <t>Maquetar el editor de estaciones, tareas y eventos</t>
        </is>
      </c>
      <c r="C49" s="40" t="n"/>
      <c r="D49" s="40" t="n"/>
      <c r="E49" s="19" t="inlineStr">
        <is>
          <t>Desarrollo</t>
        </is>
      </c>
      <c r="F49" s="19" t="inlineStr">
        <is>
          <t>Dev 6</t>
        </is>
      </c>
      <c r="G49" s="19" t="inlineStr">
        <is>
          <t>Pendiente</t>
        </is>
      </c>
      <c r="H49" s="19" t="n">
        <v>7</v>
      </c>
      <c r="I49" s="41" t="n">
        <v>7</v>
      </c>
      <c r="J49" s="41" t="n">
        <v>7</v>
      </c>
      <c r="K49" s="41" t="n">
        <v>5</v>
      </c>
      <c r="L49" s="41" t="n">
        <v>2</v>
      </c>
      <c r="M49" s="41" t="n">
        <v>1</v>
      </c>
      <c r="N49" s="42" t="n">
        <v>0</v>
      </c>
      <c r="O49" s="42" t="n">
        <v>0</v>
      </c>
      <c r="P49" s="42" t="n">
        <v>0</v>
      </c>
      <c r="Q49" s="42" t="n">
        <v>0</v>
      </c>
      <c r="R49" s="42" t="n">
        <v>0</v>
      </c>
      <c r="S49" s="42" t="n">
        <v>0</v>
      </c>
      <c r="T49" s="42" t="n">
        <v>0</v>
      </c>
      <c r="U49" s="42" t="n">
        <v>0</v>
      </c>
      <c r="V49" s="42" t="n">
        <v>0</v>
      </c>
      <c r="W49" s="42" t="n">
        <v>0</v>
      </c>
      <c r="X49" s="42" t="n">
        <v>0</v>
      </c>
      <c r="Y49" s="42" t="n">
        <v>0</v>
      </c>
      <c r="Z49" s="42" t="n">
        <v>0</v>
      </c>
    </row>
    <row r="50" ht="16" customHeight="1">
      <c r="A50" s="19" t="inlineStr">
        <is>
          <t>11.2</t>
        </is>
      </c>
      <c r="B50" s="20" t="inlineStr">
        <is>
          <t>Maquetar los estados de publicacion y el bloqueo sin revision</t>
        </is>
      </c>
      <c r="C50" s="40" t="n"/>
      <c r="D50" s="40" t="n"/>
      <c r="E50" s="19" t="inlineStr">
        <is>
          <t>Desarrollo</t>
        </is>
      </c>
      <c r="F50" s="19" t="inlineStr">
        <is>
          <t>Dev 6</t>
        </is>
      </c>
      <c r="G50" s="19" t="inlineStr">
        <is>
          <t>Pendiente</t>
        </is>
      </c>
      <c r="H50" s="19" t="n">
        <v>4</v>
      </c>
      <c r="I50" s="41" t="n">
        <v>4</v>
      </c>
      <c r="J50" s="41" t="n">
        <v>4</v>
      </c>
      <c r="K50" s="41" t="n">
        <v>4</v>
      </c>
      <c r="L50" s="41" t="n">
        <v>4</v>
      </c>
      <c r="M50" s="41" t="n">
        <v>4</v>
      </c>
      <c r="N50" s="41" t="n">
        <v>4</v>
      </c>
      <c r="O50" s="41" t="n">
        <v>3</v>
      </c>
      <c r="P50" s="41" t="n">
        <v>1</v>
      </c>
      <c r="Q50" s="42" t="n">
        <v>0</v>
      </c>
      <c r="R50" s="42" t="n">
        <v>0</v>
      </c>
      <c r="S50" s="42" t="n">
        <v>0</v>
      </c>
      <c r="T50" s="42" t="n">
        <v>0</v>
      </c>
      <c r="U50" s="42" t="n">
        <v>0</v>
      </c>
      <c r="V50" s="42" t="n">
        <v>0</v>
      </c>
      <c r="W50" s="42" t="n">
        <v>0</v>
      </c>
      <c r="X50" s="42" t="n">
        <v>0</v>
      </c>
      <c r="Y50" s="42" t="n">
        <v>0</v>
      </c>
      <c r="Z50" s="42" t="n">
        <v>0</v>
      </c>
    </row>
    <row r="51" ht="16" customHeight="1">
      <c r="A51" s="19" t="inlineStr">
        <is>
          <t>11.3</t>
        </is>
      </c>
      <c r="B51" s="20" t="inlineStr">
        <is>
          <t>Maquetar la vista previa de la mision</t>
        </is>
      </c>
      <c r="C51" s="40" t="n"/>
      <c r="D51" s="40" t="n"/>
      <c r="E51" s="19" t="inlineStr">
        <is>
          <t>Desarrollo</t>
        </is>
      </c>
      <c r="F51" s="19" t="inlineStr">
        <is>
          <t>Dev 6</t>
        </is>
      </c>
      <c r="G51" s="19" t="inlineStr">
        <is>
          <t>Pendiente</t>
        </is>
      </c>
      <c r="H51" s="19" t="n">
        <v>3</v>
      </c>
      <c r="I51" s="41" t="n">
        <v>3</v>
      </c>
      <c r="J51" s="41" t="n">
        <v>3</v>
      </c>
      <c r="K51" s="41" t="n">
        <v>3</v>
      </c>
      <c r="L51" s="41" t="n">
        <v>3</v>
      </c>
      <c r="M51" s="41" t="n">
        <v>3</v>
      </c>
      <c r="N51" s="41" t="n">
        <v>3</v>
      </c>
      <c r="O51" s="41" t="n">
        <v>3</v>
      </c>
      <c r="P51" s="41" t="n">
        <v>3</v>
      </c>
      <c r="Q51" s="41" t="n">
        <v>2</v>
      </c>
      <c r="R51" s="42" t="n">
        <v>0</v>
      </c>
      <c r="S51" s="42" t="n">
        <v>0</v>
      </c>
      <c r="T51" s="42" t="n">
        <v>0</v>
      </c>
      <c r="U51" s="42" t="n">
        <v>0</v>
      </c>
      <c r="V51" s="42" t="n">
        <v>0</v>
      </c>
      <c r="W51" s="42" t="n">
        <v>0</v>
      </c>
      <c r="X51" s="42" t="n">
        <v>0</v>
      </c>
      <c r="Y51" s="42" t="n">
        <v>0</v>
      </c>
      <c r="Z51" s="42" t="n">
        <v>0</v>
      </c>
    </row>
    <row r="52" ht="18" customHeight="1">
      <c r="A52" s="36" t="inlineStr">
        <is>
          <t>12.0</t>
        </is>
      </c>
      <c r="B52" s="37" t="inlineStr">
        <is>
          <t>Mock de la vista de admin priorizada (Vista de admin)</t>
        </is>
      </c>
      <c r="C52" s="38" t="n"/>
      <c r="D52" s="38" t="n"/>
      <c r="E52" s="38" t="n"/>
      <c r="F52" s="38" t="n"/>
      <c r="G52" s="38" t="n"/>
      <c r="H52" s="38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 ht="16" customHeight="1">
      <c r="A53" s="19" t="inlineStr">
        <is>
          <t>12.1</t>
        </is>
      </c>
      <c r="B53" s="20" t="inlineStr">
        <is>
          <t>Definir que ve el admin: agregados vs. individual (pregunta #3)</t>
        </is>
      </c>
      <c r="C53" s="40" t="n"/>
      <c r="D53" s="40" t="n"/>
      <c r="E53" s="19" t="inlineStr">
        <is>
          <t>Analisis</t>
        </is>
      </c>
      <c r="F53" s="19" t="inlineStr">
        <is>
          <t>Dev 6</t>
        </is>
      </c>
      <c r="G53" s="19" t="inlineStr">
        <is>
          <t>Pendiente</t>
        </is>
      </c>
      <c r="H53" s="19" t="n">
        <v>4</v>
      </c>
      <c r="I53" s="41" t="n">
        <v>4</v>
      </c>
      <c r="J53" s="41" t="n">
        <v>4</v>
      </c>
      <c r="K53" s="41" t="n">
        <v>4</v>
      </c>
      <c r="L53" s="41" t="n">
        <v>4</v>
      </c>
      <c r="M53" s="41" t="n">
        <v>4</v>
      </c>
      <c r="N53" s="41" t="n">
        <v>4</v>
      </c>
      <c r="O53" s="41" t="n">
        <v>4</v>
      </c>
      <c r="P53" s="41" t="n">
        <v>4</v>
      </c>
      <c r="Q53" s="41" t="n">
        <v>4</v>
      </c>
      <c r="R53" s="41" t="n">
        <v>2</v>
      </c>
      <c r="S53" s="42" t="n">
        <v>0</v>
      </c>
      <c r="T53" s="42" t="n">
        <v>0</v>
      </c>
      <c r="U53" s="42" t="n">
        <v>0</v>
      </c>
      <c r="V53" s="42" t="n">
        <v>0</v>
      </c>
      <c r="W53" s="42" t="n">
        <v>0</v>
      </c>
      <c r="X53" s="42" t="n">
        <v>0</v>
      </c>
      <c r="Y53" s="42" t="n">
        <v>0</v>
      </c>
      <c r="Z53" s="42" t="n">
        <v>0</v>
      </c>
    </row>
    <row r="54" ht="16" customHeight="1">
      <c r="A54" s="19" t="inlineStr">
        <is>
          <t>12.2</t>
        </is>
      </c>
      <c r="B54" s="20" t="inlineStr">
        <is>
          <t>Maquetar la vista priorizada por 'necesita atencion'</t>
        </is>
      </c>
      <c r="C54" s="40" t="n"/>
      <c r="D54" s="40" t="n"/>
      <c r="E54" s="19" t="inlineStr">
        <is>
          <t>Desarrollo</t>
        </is>
      </c>
      <c r="F54" s="19" t="inlineStr">
        <is>
          <t>Dev 6</t>
        </is>
      </c>
      <c r="G54" s="19" t="inlineStr">
        <is>
          <t>Pendiente</t>
        </is>
      </c>
      <c r="H54" s="19" t="n">
        <v>7</v>
      </c>
      <c r="I54" s="41" t="n">
        <v>7</v>
      </c>
      <c r="J54" s="41" t="n">
        <v>7</v>
      </c>
      <c r="K54" s="41" t="n">
        <v>7</v>
      </c>
      <c r="L54" s="41" t="n">
        <v>7</v>
      </c>
      <c r="M54" s="41" t="n">
        <v>7</v>
      </c>
      <c r="N54" s="41" t="n">
        <v>7</v>
      </c>
      <c r="O54" s="41" t="n">
        <v>7</v>
      </c>
      <c r="P54" s="41" t="n">
        <v>7</v>
      </c>
      <c r="Q54" s="41" t="n">
        <v>7</v>
      </c>
      <c r="R54" s="41" t="n">
        <v>7</v>
      </c>
      <c r="S54" s="41" t="n">
        <v>6</v>
      </c>
      <c r="T54" s="41" t="n">
        <v>5</v>
      </c>
      <c r="U54" s="41" t="n">
        <v>4</v>
      </c>
      <c r="V54" s="41" t="n">
        <v>3</v>
      </c>
      <c r="W54" s="41" t="n">
        <v>1</v>
      </c>
      <c r="X54" s="42" t="n">
        <v>0</v>
      </c>
      <c r="Y54" s="42" t="n">
        <v>0</v>
      </c>
      <c r="Z54" s="42" t="n">
        <v>0</v>
      </c>
    </row>
    <row r="55" ht="16" customHeight="1">
      <c r="A55" s="19" t="inlineStr">
        <is>
          <t>12.3</t>
        </is>
      </c>
      <c r="B55" s="20" t="inlineStr">
        <is>
          <t>Revisar la vista de admin contra el no negociable 4</t>
        </is>
      </c>
      <c r="C55" s="40" t="n"/>
      <c r="D55" s="40" t="n"/>
      <c r="E55" s="19" t="inlineStr">
        <is>
          <t>Testing</t>
        </is>
      </c>
      <c r="F55" s="19" t="inlineStr">
        <is>
          <t>Dev 4</t>
        </is>
      </c>
      <c r="G55" s="19" t="inlineStr">
        <is>
          <t>Pendiente</t>
        </is>
      </c>
      <c r="H55" s="19" t="n">
        <v>3</v>
      </c>
      <c r="I55" s="41" t="n">
        <v>3</v>
      </c>
      <c r="J55" s="41" t="n">
        <v>3</v>
      </c>
      <c r="K55" s="41" t="n">
        <v>3</v>
      </c>
      <c r="L55" s="41" t="n">
        <v>3</v>
      </c>
      <c r="M55" s="41" t="n">
        <v>3</v>
      </c>
      <c r="N55" s="41" t="n">
        <v>3</v>
      </c>
      <c r="O55" s="41" t="n">
        <v>3</v>
      </c>
      <c r="P55" s="41" t="n">
        <v>3</v>
      </c>
      <c r="Q55" s="41" t="n">
        <v>3</v>
      </c>
      <c r="R55" s="42" t="n">
        <v>0</v>
      </c>
      <c r="S55" s="42" t="n">
        <v>0</v>
      </c>
      <c r="T55" s="42" t="n">
        <v>0</v>
      </c>
      <c r="U55" s="42" t="n">
        <v>0</v>
      </c>
      <c r="V55" s="42" t="n">
        <v>0</v>
      </c>
      <c r="W55" s="42" t="n">
        <v>0</v>
      </c>
      <c r="X55" s="42" t="n">
        <v>0</v>
      </c>
      <c r="Y55" s="42" t="n">
        <v>0</v>
      </c>
      <c r="Z55" s="42" t="n">
        <v>0</v>
      </c>
    </row>
    <row r="56" ht="18" customHeight="1">
      <c r="A56" s="36" t="inlineStr">
        <is>
          <t>13.0</t>
        </is>
      </c>
      <c r="B56" s="37" t="inlineStr">
        <is>
          <t>Mock del arbol de habilidades (Progresion y mundo)</t>
        </is>
      </c>
      <c r="C56" s="38" t="n"/>
      <c r="D56" s="38" t="n"/>
      <c r="E56" s="38" t="n"/>
      <c r="F56" s="38" t="n"/>
      <c r="G56" s="38" t="n"/>
      <c r="H56" s="38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 ht="16" customHeight="1">
      <c r="A57" s="19" t="inlineStr">
        <is>
          <t>13.1</t>
        </is>
      </c>
      <c r="B57" s="20" t="inlineStr">
        <is>
          <t>Definir si el arbol desbloquea contenido o es cosmetico (pregunta #2)</t>
        </is>
      </c>
      <c r="C57" s="40" t="n"/>
      <c r="D57" s="40" t="n"/>
      <c r="E57" s="19" t="inlineStr">
        <is>
          <t>Analisis</t>
        </is>
      </c>
      <c r="F57" s="19" t="inlineStr">
        <is>
          <t>Dev 7</t>
        </is>
      </c>
      <c r="G57" s="19" t="inlineStr">
        <is>
          <t>Pendiente</t>
        </is>
      </c>
      <c r="H57" s="19" t="n">
        <v>4</v>
      </c>
      <c r="I57" s="41" t="n">
        <v>4</v>
      </c>
      <c r="J57" s="41" t="n">
        <v>4</v>
      </c>
      <c r="K57" s="41" t="n">
        <v>4</v>
      </c>
      <c r="L57" s="41" t="n">
        <v>4</v>
      </c>
      <c r="M57" s="41" t="n">
        <v>4</v>
      </c>
      <c r="N57" s="41" t="n">
        <v>4</v>
      </c>
      <c r="O57" s="41" t="n">
        <v>4</v>
      </c>
      <c r="P57" s="41" t="n">
        <v>2</v>
      </c>
      <c r="Q57" s="42" t="n">
        <v>0</v>
      </c>
      <c r="R57" s="42" t="n">
        <v>0</v>
      </c>
      <c r="S57" s="42" t="n">
        <v>0</v>
      </c>
      <c r="T57" s="42" t="n">
        <v>0</v>
      </c>
      <c r="U57" s="42" t="n">
        <v>0</v>
      </c>
      <c r="V57" s="42" t="n">
        <v>0</v>
      </c>
      <c r="W57" s="42" t="n">
        <v>0</v>
      </c>
      <c r="X57" s="42" t="n">
        <v>0</v>
      </c>
      <c r="Y57" s="42" t="n">
        <v>0</v>
      </c>
      <c r="Z57" s="42" t="n">
        <v>0</v>
      </c>
    </row>
    <row r="58" ht="16" customHeight="1">
      <c r="A58" s="19" t="inlineStr">
        <is>
          <t>13.2</t>
        </is>
      </c>
      <c r="B58" s="20" t="inlineStr">
        <is>
          <t>Maquetar el arbol de habilidades visual</t>
        </is>
      </c>
      <c r="C58" s="40" t="n"/>
      <c r="D58" s="40" t="n"/>
      <c r="E58" s="19" t="inlineStr">
        <is>
          <t>Desarrollo</t>
        </is>
      </c>
      <c r="F58" s="19" t="inlineStr">
        <is>
          <t>Dev 4</t>
        </is>
      </c>
      <c r="G58" s="19" t="inlineStr">
        <is>
          <t>Pendiente</t>
        </is>
      </c>
      <c r="H58" s="19" t="n">
        <v>8</v>
      </c>
      <c r="I58" s="41" t="n">
        <v>8</v>
      </c>
      <c r="J58" s="41" t="n">
        <v>8</v>
      </c>
      <c r="K58" s="41" t="n">
        <v>8</v>
      </c>
      <c r="L58" s="41" t="n">
        <v>8</v>
      </c>
      <c r="M58" s="41" t="n">
        <v>8</v>
      </c>
      <c r="N58" s="41" t="n">
        <v>8</v>
      </c>
      <c r="O58" s="41" t="n">
        <v>8</v>
      </c>
      <c r="P58" s="41" t="n">
        <v>8</v>
      </c>
      <c r="Q58" s="41" t="n">
        <v>8</v>
      </c>
      <c r="R58" s="41" t="n">
        <v>7</v>
      </c>
      <c r="S58" s="41" t="n">
        <v>4</v>
      </c>
      <c r="T58" s="41" t="n">
        <v>3</v>
      </c>
      <c r="U58" s="41" t="n">
        <v>2</v>
      </c>
      <c r="V58" s="41" t="n">
        <v>1</v>
      </c>
      <c r="W58" s="42" t="n">
        <v>0</v>
      </c>
      <c r="X58" s="42" t="n">
        <v>0</v>
      </c>
      <c r="Y58" s="42" t="n">
        <v>0</v>
      </c>
      <c r="Z58" s="42" t="n">
        <v>0</v>
      </c>
    </row>
    <row r="59" ht="18" customHeight="1">
      <c r="A59" s="36" t="inlineStr">
        <is>
          <t>14.0</t>
        </is>
      </c>
      <c r="B59" s="37" t="inlineStr">
        <is>
          <t>Mock del modo sensible aplicado a un evento (Modo sensible)</t>
        </is>
      </c>
      <c r="C59" s="38" t="n"/>
      <c r="D59" s="38" t="n"/>
      <c r="E59" s="38" t="n"/>
      <c r="F59" s="38" t="n"/>
      <c r="G59" s="38" t="n"/>
      <c r="H59" s="38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 ht="16" customHeight="1">
      <c r="A60" s="19" t="inlineStr">
        <is>
          <t>14.1</t>
        </is>
      </c>
      <c r="B60" s="20" t="inlineStr">
        <is>
          <t>Aplicar el interruptor sensible sobre el mock de dialogo</t>
        </is>
      </c>
      <c r="C60" s="40" t="n"/>
      <c r="D60" s="40" t="n"/>
      <c r="E60" s="19" t="inlineStr">
        <is>
          <t>Desarrollo</t>
        </is>
      </c>
      <c r="F60" s="19" t="inlineStr">
        <is>
          <t>Dev 7</t>
        </is>
      </c>
      <c r="G60" s="19" t="inlineStr">
        <is>
          <t>Pendiente</t>
        </is>
      </c>
      <c r="H60" s="19" t="n">
        <v>7</v>
      </c>
      <c r="I60" s="41" t="n">
        <v>7</v>
      </c>
      <c r="J60" s="41" t="n">
        <v>7</v>
      </c>
      <c r="K60" s="41" t="n">
        <v>7</v>
      </c>
      <c r="L60" s="41" t="n">
        <v>7</v>
      </c>
      <c r="M60" s="41" t="n">
        <v>7</v>
      </c>
      <c r="N60" s="41" t="n">
        <v>7</v>
      </c>
      <c r="O60" s="41" t="n">
        <v>7</v>
      </c>
      <c r="P60" s="41" t="n">
        <v>7</v>
      </c>
      <c r="Q60" s="41" t="n">
        <v>7</v>
      </c>
      <c r="R60" s="41" t="n">
        <v>3</v>
      </c>
      <c r="S60" s="42" t="n">
        <v>0</v>
      </c>
      <c r="T60" s="42" t="n">
        <v>0</v>
      </c>
      <c r="U60" s="42" t="n">
        <v>0</v>
      </c>
      <c r="V60" s="42" t="n">
        <v>0</v>
      </c>
      <c r="W60" s="42" t="n">
        <v>0</v>
      </c>
      <c r="X60" s="42" t="n">
        <v>0</v>
      </c>
      <c r="Y60" s="42" t="n">
        <v>0</v>
      </c>
      <c r="Z60" s="42" t="n">
        <v>0</v>
      </c>
    </row>
    <row r="61" ht="16" customHeight="1">
      <c r="A61" s="19" t="inlineStr">
        <is>
          <t>14.2</t>
        </is>
      </c>
      <c r="B61" s="20" t="inlineStr">
        <is>
          <t>Maquetar canales de ayuda y opt-out sin registro de incompleto</t>
        </is>
      </c>
      <c r="C61" s="40" t="n"/>
      <c r="D61" s="40" t="n"/>
      <c r="E61" s="19" t="inlineStr">
        <is>
          <t>Desarrollo</t>
        </is>
      </c>
      <c r="F61" s="19" t="inlineStr">
        <is>
          <t>Dev 7</t>
        </is>
      </c>
      <c r="G61" s="19" t="inlineStr">
        <is>
          <t>Pendiente</t>
        </is>
      </c>
      <c r="H61" s="19" t="n">
        <v>5</v>
      </c>
      <c r="I61" s="41" t="n">
        <v>5</v>
      </c>
      <c r="J61" s="41" t="n">
        <v>5</v>
      </c>
      <c r="K61" s="41" t="n">
        <v>5</v>
      </c>
      <c r="L61" s="41" t="n">
        <v>5</v>
      </c>
      <c r="M61" s="41" t="n">
        <v>5</v>
      </c>
      <c r="N61" s="41" t="n">
        <v>5</v>
      </c>
      <c r="O61" s="41" t="n">
        <v>5</v>
      </c>
      <c r="P61" s="41" t="n">
        <v>5</v>
      </c>
      <c r="Q61" s="41" t="n">
        <v>5</v>
      </c>
      <c r="R61" s="41" t="n">
        <v>5</v>
      </c>
      <c r="S61" s="41" t="n">
        <v>5</v>
      </c>
      <c r="T61" s="41" t="n">
        <v>4</v>
      </c>
      <c r="U61" s="41" t="n">
        <v>3</v>
      </c>
      <c r="V61" s="41" t="n">
        <v>2</v>
      </c>
      <c r="W61" s="42" t="n">
        <v>0</v>
      </c>
      <c r="X61" s="42" t="n">
        <v>0</v>
      </c>
      <c r="Y61" s="42" t="n">
        <v>0</v>
      </c>
      <c r="Z61" s="42" t="n">
        <v>0</v>
      </c>
    </row>
    <row r="62" ht="18" customHeight="1">
      <c r="A62" s="36" t="inlineStr">
        <is>
          <t>15.0</t>
        </is>
      </c>
      <c r="B62" s="37" t="inlineStr">
        <is>
          <t>Presentacion del MVP 1 (Definicion de producto)</t>
        </is>
      </c>
      <c r="C62" s="38" t="n"/>
      <c r="D62" s="38" t="n"/>
      <c r="E62" s="38" t="n"/>
      <c r="F62" s="38" t="n"/>
      <c r="G62" s="38" t="n"/>
      <c r="H62" s="38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 ht="16" customHeight="1">
      <c r="A63" s="19" t="inlineStr">
        <is>
          <t>15.1</t>
        </is>
      </c>
      <c r="B63" s="20" t="inlineStr">
        <is>
          <t>Escribir el guion de la demo de punta a punta</t>
        </is>
      </c>
      <c r="C63" s="40" t="n"/>
      <c r="D63" s="40" t="n"/>
      <c r="E63" s="19" t="inlineStr">
        <is>
          <t>Documentacion</t>
        </is>
      </c>
      <c r="F63" s="19" t="inlineStr">
        <is>
          <t>Dev 3</t>
        </is>
      </c>
      <c r="G63" s="19" t="inlineStr">
        <is>
          <t>Pendiente</t>
        </is>
      </c>
      <c r="H63" s="19" t="n">
        <v>4</v>
      </c>
      <c r="I63" s="41" t="n">
        <v>4</v>
      </c>
      <c r="J63" s="41" t="n">
        <v>4</v>
      </c>
      <c r="K63" s="41" t="n">
        <v>4</v>
      </c>
      <c r="L63" s="41" t="n">
        <v>4</v>
      </c>
      <c r="M63" s="41" t="n">
        <v>4</v>
      </c>
      <c r="N63" s="41" t="n">
        <v>4</v>
      </c>
      <c r="O63" s="41" t="n">
        <v>4</v>
      </c>
      <c r="P63" s="41" t="n">
        <v>4</v>
      </c>
      <c r="Q63" s="41" t="n">
        <v>4</v>
      </c>
      <c r="R63" s="41" t="n">
        <v>4</v>
      </c>
      <c r="S63" s="41" t="n">
        <v>4</v>
      </c>
      <c r="T63" s="41" t="n">
        <v>4</v>
      </c>
      <c r="U63" s="41" t="n">
        <v>4</v>
      </c>
      <c r="V63" s="41" t="n">
        <v>4</v>
      </c>
      <c r="W63" s="41" t="n">
        <v>2</v>
      </c>
      <c r="X63" s="42" t="n">
        <v>0</v>
      </c>
      <c r="Y63" s="42" t="n">
        <v>0</v>
      </c>
      <c r="Z63" s="42" t="n">
        <v>0</v>
      </c>
    </row>
    <row r="64" ht="16" customHeight="1">
      <c r="A64" s="19" t="inlineStr">
        <is>
          <t>15.2</t>
        </is>
      </c>
      <c r="B64" s="20" t="inlineStr">
        <is>
          <t>Armar la presentacion con el sistema de diseno</t>
        </is>
      </c>
      <c r="C64" s="40" t="n"/>
      <c r="D64" s="40" t="n"/>
      <c r="E64" s="19" t="inlineStr">
        <is>
          <t>Diseno</t>
        </is>
      </c>
      <c r="F64" s="19" t="inlineStr">
        <is>
          <t>Dev 2</t>
        </is>
      </c>
      <c r="G64" s="19" t="inlineStr">
        <is>
          <t>Pendiente</t>
        </is>
      </c>
      <c r="H64" s="19" t="n">
        <v>4</v>
      </c>
      <c r="I64" s="41" t="n">
        <v>4</v>
      </c>
      <c r="J64" s="41" t="n">
        <v>4</v>
      </c>
      <c r="K64" s="41" t="n">
        <v>4</v>
      </c>
      <c r="L64" s="41" t="n">
        <v>4</v>
      </c>
      <c r="M64" s="41" t="n">
        <v>4</v>
      </c>
      <c r="N64" s="41" t="n">
        <v>4</v>
      </c>
      <c r="O64" s="41" t="n">
        <v>4</v>
      </c>
      <c r="P64" s="41" t="n">
        <v>4</v>
      </c>
      <c r="Q64" s="41" t="n">
        <v>4</v>
      </c>
      <c r="R64" s="41" t="n">
        <v>4</v>
      </c>
      <c r="S64" s="41" t="n">
        <v>4</v>
      </c>
      <c r="T64" s="41" t="n">
        <v>4</v>
      </c>
      <c r="U64" s="41" t="n">
        <v>4</v>
      </c>
      <c r="V64" s="41" t="n">
        <v>4</v>
      </c>
      <c r="W64" s="41" t="n">
        <v>2</v>
      </c>
      <c r="X64" s="42" t="n">
        <v>0</v>
      </c>
      <c r="Y64" s="42" t="n">
        <v>0</v>
      </c>
      <c r="Z64" s="42" t="n">
        <v>0</v>
      </c>
    </row>
    <row r="65" ht="16" customHeight="1">
      <c r="A65" s="19" t="inlineStr">
        <is>
          <t>15.3</t>
        </is>
      </c>
      <c r="B65" s="20" t="inlineStr">
        <is>
          <t>Ensayo end-to-end de los mocks encadenados</t>
        </is>
      </c>
      <c r="C65" s="40" t="n"/>
      <c r="D65" s="40" t="n"/>
      <c r="E65" s="19" t="inlineStr">
        <is>
          <t>Testing</t>
        </is>
      </c>
      <c r="F65" s="19" t="inlineStr">
        <is>
          <t>Dev 5</t>
        </is>
      </c>
      <c r="G65" s="19" t="inlineStr">
        <is>
          <t>Pendiente</t>
        </is>
      </c>
      <c r="H65" s="19" t="n">
        <v>4</v>
      </c>
      <c r="I65" s="41" t="n">
        <v>4</v>
      </c>
      <c r="J65" s="41" t="n">
        <v>4</v>
      </c>
      <c r="K65" s="41" t="n">
        <v>4</v>
      </c>
      <c r="L65" s="41" t="n">
        <v>4</v>
      </c>
      <c r="M65" s="41" t="n">
        <v>4</v>
      </c>
      <c r="N65" s="41" t="n">
        <v>4</v>
      </c>
      <c r="O65" s="41" t="n">
        <v>4</v>
      </c>
      <c r="P65" s="41" t="n">
        <v>4</v>
      </c>
      <c r="Q65" s="41" t="n">
        <v>4</v>
      </c>
      <c r="R65" s="41" t="n">
        <v>4</v>
      </c>
      <c r="S65" s="41" t="n">
        <v>4</v>
      </c>
      <c r="T65" s="41" t="n">
        <v>4</v>
      </c>
      <c r="U65" s="41" t="n">
        <v>4</v>
      </c>
      <c r="V65" s="41" t="n">
        <v>4</v>
      </c>
      <c r="W65" s="41" t="n">
        <v>2</v>
      </c>
      <c r="X65" s="42" t="n">
        <v>0</v>
      </c>
      <c r="Y65" s="42" t="n">
        <v>0</v>
      </c>
      <c r="Z65" s="42" t="n">
        <v>0</v>
      </c>
    </row>
    <row r="66">
      <c r="F66" s="10" t="inlineStr">
        <is>
          <t>TOTAL Hs comprometidas</t>
        </is>
      </c>
      <c r="H66" s="9">
        <f>SUM(H10:H65)</f>
        <v/>
      </c>
    </row>
    <row r="68">
      <c r="A68" s="12" t="inlineStr">
        <is>
          <t>Carga por integrante (Hs)</t>
        </is>
      </c>
      <c r="E68" s="12" t="inlineStr">
        <is>
          <t>Capacidad</t>
        </is>
      </c>
      <c r="F68" s="12" t="inlineStr">
        <is>
          <t>Uso</t>
        </is>
      </c>
    </row>
    <row r="69">
      <c r="A69" t="inlineStr">
        <is>
          <t>Dev 1</t>
        </is>
      </c>
      <c r="B69" s="6">
        <f>SUMIF($F$10:$F$65,A69,$H$10:$H$65)</f>
        <v/>
      </c>
      <c r="C69" s="43" t="inlineStr">
        <is>
          <t>de capacidad</t>
        </is>
      </c>
      <c r="E69" s="6">
        <f>Capacidad!K6</f>
        <v/>
      </c>
      <c r="F69" s="6">
        <f>ROUND(B69/E69*100,0)&amp;"%"</f>
        <v/>
      </c>
    </row>
    <row r="70">
      <c r="A70" t="inlineStr">
        <is>
          <t>Dev 2</t>
        </is>
      </c>
      <c r="B70" s="6">
        <f>SUMIF($F$10:$F$65,A70,$H$10:$H$65)</f>
        <v/>
      </c>
      <c r="C70" s="43" t="inlineStr">
        <is>
          <t>de capacidad</t>
        </is>
      </c>
      <c r="E70" s="6">
        <f>Capacidad!K7</f>
        <v/>
      </c>
      <c r="F70" s="6">
        <f>ROUND(B70/E70*100,0)&amp;"%"</f>
        <v/>
      </c>
    </row>
    <row r="71">
      <c r="A71" t="inlineStr">
        <is>
          <t>Dev 3</t>
        </is>
      </c>
      <c r="B71" s="6">
        <f>SUMIF($F$10:$F$65,A71,$H$10:$H$65)</f>
        <v/>
      </c>
      <c r="C71" s="43" t="inlineStr">
        <is>
          <t>de capacidad</t>
        </is>
      </c>
      <c r="E71" s="6">
        <f>Capacidad!K8</f>
        <v/>
      </c>
      <c r="F71" s="6">
        <f>ROUND(B71/E71*100,0)&amp;"%"</f>
        <v/>
      </c>
    </row>
    <row r="72">
      <c r="A72" t="inlineStr">
        <is>
          <t>Dev 4</t>
        </is>
      </c>
      <c r="B72" s="6">
        <f>SUMIF($F$10:$F$65,A72,$H$10:$H$65)</f>
        <v/>
      </c>
      <c r="C72" s="43" t="inlineStr">
        <is>
          <t>de capacidad</t>
        </is>
      </c>
      <c r="E72" s="6">
        <f>Capacidad!K9</f>
        <v/>
      </c>
      <c r="F72" s="6">
        <f>ROUND(B72/E72*100,0)&amp;"%"</f>
        <v/>
      </c>
    </row>
    <row r="73">
      <c r="A73" t="inlineStr">
        <is>
          <t>Dev 5</t>
        </is>
      </c>
      <c r="B73" s="6">
        <f>SUMIF($F$10:$F$65,A73,$H$10:$H$65)</f>
        <v/>
      </c>
      <c r="C73" s="43" t="inlineStr">
        <is>
          <t>de capacidad</t>
        </is>
      </c>
      <c r="E73" s="6">
        <f>Capacidad!K10</f>
        <v/>
      </c>
      <c r="F73" s="6">
        <f>ROUND(B73/E73*100,0)&amp;"%"</f>
        <v/>
      </c>
    </row>
    <row r="74">
      <c r="A74" t="inlineStr">
        <is>
          <t>Dev 6</t>
        </is>
      </c>
      <c r="B74" s="6">
        <f>SUMIF($F$10:$F$65,A74,$H$10:$H$65)</f>
        <v/>
      </c>
      <c r="C74" s="43" t="inlineStr">
        <is>
          <t>de capacidad</t>
        </is>
      </c>
      <c r="E74" s="6">
        <f>Capacidad!K11</f>
        <v/>
      </c>
      <c r="F74" s="6">
        <f>ROUND(B74/E74*100,0)&amp;"%"</f>
        <v/>
      </c>
    </row>
    <row r="75">
      <c r="A75" t="inlineStr">
        <is>
          <t>Dev 7</t>
        </is>
      </c>
      <c r="B75" s="6">
        <f>SUMIF($F$10:$F$65,A75,$H$10:$H$65)</f>
        <v/>
      </c>
      <c r="C75" s="43" t="inlineStr">
        <is>
          <t>de capacidad</t>
        </is>
      </c>
      <c r="E75" s="6">
        <f>Capacidad!K12</f>
        <v/>
      </c>
      <c r="F75" s="6">
        <f>ROUND(B75/E75*100,0)&amp;"%"</f>
        <v/>
      </c>
    </row>
  </sheetData>
  <mergeCells count="59">
    <mergeCell ref="B11:D11"/>
    <mergeCell ref="B42:D42"/>
    <mergeCell ref="B14:D14"/>
    <mergeCell ref="B60:D60"/>
    <mergeCell ref="B23:D23"/>
    <mergeCell ref="B61:D61"/>
    <mergeCell ref="B57:D57"/>
    <mergeCell ref="B17:D17"/>
    <mergeCell ref="B13:D13"/>
    <mergeCell ref="B44:D44"/>
    <mergeCell ref="B53:D53"/>
    <mergeCell ref="B29:D29"/>
    <mergeCell ref="B38:D38"/>
    <mergeCell ref="B34:D34"/>
    <mergeCell ref="B10:D10"/>
    <mergeCell ref="B28:D28"/>
    <mergeCell ref="B19:D19"/>
    <mergeCell ref="B37:D37"/>
    <mergeCell ref="B49:D49"/>
    <mergeCell ref="B40:D40"/>
    <mergeCell ref="B9:D9"/>
    <mergeCell ref="B30:D30"/>
    <mergeCell ref="B65:D65"/>
    <mergeCell ref="B15:D15"/>
    <mergeCell ref="B55:D55"/>
    <mergeCell ref="B24:D24"/>
    <mergeCell ref="I8:Z8"/>
    <mergeCell ref="B20:D20"/>
    <mergeCell ref="B51:D51"/>
    <mergeCell ref="B33:D33"/>
    <mergeCell ref="B64:D64"/>
    <mergeCell ref="B36:D36"/>
    <mergeCell ref="B45:D45"/>
    <mergeCell ref="B63:D63"/>
    <mergeCell ref="B41:D41"/>
    <mergeCell ref="B32:D32"/>
    <mergeCell ref="B35:D35"/>
    <mergeCell ref="B50:D50"/>
    <mergeCell ref="B26:D26"/>
    <mergeCell ref="B62:D62"/>
    <mergeCell ref="B25:D25"/>
    <mergeCell ref="A8:H8"/>
    <mergeCell ref="B47:D47"/>
    <mergeCell ref="B16:D16"/>
    <mergeCell ref="B54:D54"/>
    <mergeCell ref="B59:D59"/>
    <mergeCell ref="B31:D31"/>
    <mergeCell ref="B46:D46"/>
    <mergeCell ref="B22:D22"/>
    <mergeCell ref="B18:D18"/>
    <mergeCell ref="B27:D27"/>
    <mergeCell ref="B56:D56"/>
    <mergeCell ref="B52:D52"/>
    <mergeCell ref="B21:D21"/>
    <mergeCell ref="B58:D58"/>
    <mergeCell ref="B43:D43"/>
    <mergeCell ref="B12:D12"/>
    <mergeCell ref="B39:D39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66" customWidth="1" min="3" max="3"/>
    <col width="13" customWidth="1" min="4" max="4"/>
    <col width="13" customWidth="1" min="5" max="5"/>
    <col width="8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XPedia - Carga comprometida vs. capacidad</t>
        </is>
      </c>
    </row>
    <row r="3" ht="32" customHeight="1">
      <c r="A3" s="18" t="inlineStr">
        <is>
          <t>Sprint</t>
        </is>
      </c>
      <c r="B3" s="18" t="inlineStr">
        <is>
          <t>MVP</t>
        </is>
      </c>
      <c r="C3" s="18" t="inlineStr">
        <is>
          <t>Objetivo del MVP</t>
        </is>
      </c>
      <c r="D3" s="18" t="inlineStr">
        <is>
          <t>Inicio</t>
        </is>
      </c>
      <c r="E3" s="18" t="inlineStr">
        <is>
          <t>Fin</t>
        </is>
      </c>
      <c r="F3" s="18" t="inlineStr">
        <is>
          <t>PBIs</t>
        </is>
      </c>
      <c r="G3" s="18" t="inlineStr">
        <is>
          <t>Hs planificadas</t>
        </is>
      </c>
      <c r="H3" s="18" t="inlineStr">
        <is>
          <t>Capacidad neta</t>
        </is>
      </c>
      <c r="I3" s="18" t="inlineStr">
        <is>
          <t>% de uso</t>
        </is>
      </c>
    </row>
    <row r="4" ht="34" customHeight="1">
      <c r="A4" s="44" t="inlineStr">
        <is>
          <t>Sprint-Nro1</t>
        </is>
      </c>
      <c r="B4" s="44" t="inlineStr">
        <is>
          <t>MVP 1</t>
        </is>
      </c>
      <c r="C4" s="45" t="inlineStr">
        <is>
          <t>Idea cerrada y todas las pantallas mockeadas. Presentacion de la propuesta. Nada de backend: todo hardcodeado.</t>
        </is>
      </c>
      <c r="D4" s="46" t="n">
        <v>46289</v>
      </c>
      <c r="E4" s="46" t="n">
        <v>46306</v>
      </c>
      <c r="F4" s="44" t="n">
        <v>15</v>
      </c>
      <c r="G4" s="44" t="n">
        <v>214</v>
      </c>
      <c r="H4" s="44">
        <f>Capacidad!$K$15</f>
        <v/>
      </c>
      <c r="I4" s="44">
        <f>ROUND(G4/H4*100,0)&amp;"%"</f>
        <v/>
      </c>
    </row>
    <row r="5" ht="34" customHeight="1">
      <c r="A5" s="47" t="inlineStr">
        <is>
          <t>Sprint-Nro2</t>
        </is>
      </c>
      <c r="B5" s="47" t="inlineStr">
        <is>
          <t>MVP 2</t>
        </is>
      </c>
      <c r="C5" s="48" t="inlineStr">
        <is>
          <t>El turno de trabajo jugable de verdad (el giro 4.7) + esqueleto tecnico del stack + primer test con usuarios reales.</t>
        </is>
      </c>
      <c r="D5" s="49" t="n">
        <v>46307</v>
      </c>
      <c r="E5" s="49" t="n">
        <v>46324</v>
      </c>
      <c r="F5" s="47" t="n">
        <v>11</v>
      </c>
      <c r="G5" s="47" t="n">
        <v>206</v>
      </c>
      <c r="H5" s="47">
        <f>Capacidad!$K$15</f>
        <v/>
      </c>
      <c r="I5" s="47">
        <f>ROUND(G5/H5*100,0)&amp;"%"</f>
        <v/>
      </c>
    </row>
    <row r="6" ht="34" customHeight="1">
      <c r="A6" s="50" t="inlineStr">
        <is>
          <t>Sprint-Nro3</t>
        </is>
      </c>
      <c r="B6" s="50" t="inlineStr">
        <is>
          <t>MVP 3</t>
        </is>
      </c>
      <c r="C6" s="51" t="inlineStr">
        <is>
          <t>El Taller productivo: RAG real, generacion de contenido de turno con IA, aprobacion humana, auth y multi-tenant.</t>
        </is>
      </c>
      <c r="D6" s="52" t="n">
        <v>46325</v>
      </c>
      <c r="E6" s="52" t="n">
        <v>46342</v>
      </c>
      <c r="F6" s="50" t="n">
        <v>10</v>
      </c>
      <c r="G6" s="50" t="n">
        <v>210</v>
      </c>
      <c r="H6" s="50">
        <f>Capacidad!$K$15</f>
        <v/>
      </c>
      <c r="I6" s="50">
        <f>ROUND(G6/H6*100,0)&amp;"%"</f>
        <v/>
      </c>
    </row>
    <row r="7" ht="34" customHeight="1">
      <c r="A7" s="53" t="inlineStr">
        <is>
          <t>Sprint-Nro4</t>
        </is>
      </c>
      <c r="B7" s="53" t="inlineStr">
        <is>
          <t>MVP 4</t>
        </is>
      </c>
      <c r="C7" s="54" t="inlineStr">
        <is>
          <t>Vista de admin con datos reales, modo sensible implementado, progresion, segundo escenario y piloto para la tesis.</t>
        </is>
      </c>
      <c r="D7" s="55" t="n">
        <v>46343</v>
      </c>
      <c r="E7" s="55" t="n">
        <v>46360</v>
      </c>
      <c r="F7" s="53" t="n">
        <v>10</v>
      </c>
      <c r="G7" s="53" t="n">
        <v>208</v>
      </c>
      <c r="H7" s="53">
        <f>Capacidad!$K$15</f>
        <v/>
      </c>
      <c r="I7" s="53">
        <f>ROUND(G7/H7*100,0)&amp;"%"</f>
        <v/>
      </c>
    </row>
    <row r="8">
      <c r="C8" s="10" t="inlineStr">
        <is>
          <t>TOTAL</t>
        </is>
      </c>
      <c r="F8" s="9">
        <f>SUM(F4:F7)</f>
        <v/>
      </c>
      <c r="G8" s="9">
        <f>SUM(G4:G7)</f>
        <v/>
      </c>
      <c r="H8" s="9">
        <f>Capacidad!$K$16</f>
        <v/>
      </c>
      <c r="I8" s="9">
        <f>ROUND(G8/H8*100,0)&amp;"%"</f>
        <v/>
      </c>
    </row>
    <row r="11">
      <c r="A11" s="12" t="inlineStr">
        <is>
          <t>Como se leen estos numeros</t>
        </is>
      </c>
    </row>
    <row r="12">
      <c r="A12" s="56" t="inlineStr">
        <is>
          <t>- El % de uso se calcula contra la capacidad NETA (ya descontado el 15% de no planificados), por eso un 95-100% es sano y no sobrecarga.</t>
        </is>
      </c>
    </row>
    <row r="13">
      <c r="A13" s="56" t="inlineStr">
        <is>
          <t>- Las 14 hs semanales por persona son el valor ideal declarado. Al cierre de cada sprint se compara con las horas reales y se reajusta la capacidad del sprint siguiente.</t>
        </is>
      </c>
    </row>
    <row r="14">
      <c r="A14" s="56" t="inlineStr">
        <is>
          <t>- Solo el Sprint 1 tiene la pila desglosada en tareas. Los sprints 2 a 4 se desglosan en su propia planificacion, con el velocity real ya medido.</t>
        </is>
      </c>
    </row>
    <row r="15">
      <c r="A15" s="56" t="inlineStr">
        <is>
          <t>- El Sprint 4 cierra el 04/12/2026, que es la fecha de la ultima entrega.</t>
        </is>
      </c>
    </row>
  </sheetData>
  <mergeCells count="4">
    <mergeCell ref="A15:I15"/>
    <mergeCell ref="A12:I12"/>
    <mergeCell ref="A13:I13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2026-09-22T02:02:20Z</dcterms:created>
  <dcterms:modified xsi:type="dcterms:W3CDTF">2026-09-22T02:02:20Z</dcterms:modified>
</cp:coreProperties>
</file>